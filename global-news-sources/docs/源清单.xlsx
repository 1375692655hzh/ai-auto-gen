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清单" sheetId="1" state="visible" r:id="rId1"/>
    <sheet xmlns:r="http://schemas.openxmlformats.org/officeDocument/2006/relationships" name="总览" sheetId="2" state="visible" r:id="rId2"/>
  </sheets>
  <definedNames>
    <definedName name="_xlnm.Print_Titles" localSheetId="0">'源清单'!$4:$4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0D1B2A"/>
      <sz val="16"/>
    </font>
    <font>
      <name val="Noto Sans SC"/>
      <color rgb="00FFFFFF"/>
      <sz val="11"/>
    </font>
    <font>
      <name val="Noto Sans SC"/>
      <color rgb="000D1B2A"/>
      <sz val="11"/>
    </font>
    <font>
      <name val="Noto Sans SC"/>
      <color rgb="00708DA8"/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8" customWidth="1" min="2" max="2"/>
    <col width="23" customWidth="1" min="3" max="3"/>
    <col width="11.5" customWidth="1" min="4" max="4"/>
    <col width="9.800000000000001" customWidth="1" min="5" max="5"/>
    <col width="40" customWidth="1" min="6" max="6"/>
    <col width="17.2" customWidth="1" min="7" max="7"/>
    <col width="14.9" customWidth="1" min="8" max="8"/>
    <col width="40" customWidth="1" min="9" max="9"/>
  </cols>
  <sheetData>
    <row r="1" ht="15" customHeight="1"/>
    <row r="2" ht="32" customHeight="1">
      <c r="B2" s="1" t="inlineStr">
        <is>
          <t>ai-auto-gen 信息源清单（注册表全量 107 源，2026-08-31 导出）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源 id</t>
        </is>
      </c>
      <c r="D4" s="2" t="inlineStr">
        <is>
          <t>市场</t>
        </is>
      </c>
      <c r="E4" s="2" t="inlineStr">
        <is>
          <t>类型</t>
        </is>
      </c>
      <c r="F4" s="2" t="inlineStr">
        <is>
          <t>给什么内容</t>
        </is>
      </c>
      <c r="G4" s="2" t="inlineStr">
        <is>
          <t>更新作息</t>
        </is>
      </c>
      <c r="H4" s="2" t="inlineStr">
        <is>
          <t>状态</t>
        </is>
      </c>
      <c r="I4" s="2" t="inlineStr">
        <is>
          <t>备注/坑</t>
        </is>
      </c>
    </row>
    <row r="5" ht="22" customHeight="1">
      <c r="B5" s="3" t="n">
        <v>1</v>
      </c>
      <c r="C5" s="4" t="inlineStr">
        <is>
          <t>sina_7x24</t>
        </is>
      </c>
      <c r="D5" s="4" t="inlineStr">
        <is>
          <t>A股/中国</t>
        </is>
      </c>
      <c r="E5" s="4" t="inlineStr">
        <is>
          <t>快讯流</t>
        </is>
      </c>
      <c r="F5" s="4" t="inlineStr">
        <is>
          <t>新浪财经7×24</t>
        </is>
      </c>
      <c r="G5" s="4" t="inlineStr">
        <is>
          <t>7×24 滚动</t>
        </is>
      </c>
      <c r="H5" s="4" t="inlineStr">
        <is>
          <t>启用</t>
        </is>
      </c>
      <c r="I5" s="4" t="inlineStr"/>
    </row>
    <row r="6" ht="22" customHeight="1">
      <c r="B6" s="5" t="n">
        <v>2</v>
      </c>
      <c r="C6" s="6" t="inlineStr">
        <is>
          <t>eastmoney_fast</t>
        </is>
      </c>
      <c r="D6" s="6" t="inlineStr">
        <is>
          <t>A股/中国</t>
        </is>
      </c>
      <c r="E6" s="6" t="inlineStr">
        <is>
          <t>快讯流</t>
        </is>
      </c>
      <c r="F6" s="6" t="inlineStr">
        <is>
          <t>东财财经快讯</t>
        </is>
      </c>
      <c r="G6" s="6" t="inlineStr">
        <is>
          <t>7×24 秒级</t>
        </is>
      </c>
      <c r="H6" s="6" t="inlineStr">
        <is>
          <t>启用</t>
        </is>
      </c>
      <c r="I6" s="6" t="inlineStr">
        <is>
          <t>焦点栏目</t>
        </is>
      </c>
    </row>
    <row r="7" ht="22" customHeight="1">
      <c r="B7" s="3" t="n">
        <v>3</v>
      </c>
      <c r="C7" s="4" t="inlineStr">
        <is>
          <t>jin10_flash</t>
        </is>
      </c>
      <c r="D7" s="4" t="inlineStr">
        <is>
          <t>全球/多市场</t>
        </is>
      </c>
      <c r="E7" s="4" t="inlineStr">
        <is>
          <t>快讯流</t>
        </is>
      </c>
      <c r="F7" s="4" t="inlineStr">
        <is>
          <t>金十数据快讯(全球,秒级时间戳)</t>
        </is>
      </c>
      <c r="G7" s="4" t="inlineStr">
        <is>
          <t>7×24 秒级</t>
        </is>
      </c>
      <c r="H7" s="4" t="inlineStr">
        <is>
          <t>启用</t>
        </is>
      </c>
      <c r="I7" s="4" t="inlineStr">
        <is>
          <t>全球宏观</t>
        </is>
      </c>
    </row>
    <row r="8" ht="38" customHeight="1">
      <c r="B8" s="5" t="n">
        <v>4</v>
      </c>
      <c r="C8" s="6" t="inlineStr">
        <is>
          <t>fxstreet_flash</t>
        </is>
      </c>
      <c r="D8" s="6" t="inlineStr">
        <is>
          <t>全球/多市场</t>
        </is>
      </c>
      <c r="E8" s="6" t="inlineStr">
        <is>
          <t>快讯流</t>
        </is>
      </c>
      <c r="F8" s="6" t="inlineStr">
        <is>
          <t>FXStreet外汇央行快讯(英文, 2026-08-30起出口IP被Cloudflare整站403, 待恢复)</t>
        </is>
      </c>
      <c r="G8" s="6" t="inlineStr">
        <is>
          <t>交易日滚动</t>
        </is>
      </c>
      <c r="H8" s="6" t="inlineStr">
        <is>
          <t>占位·被拦待恢复</t>
        </is>
      </c>
      <c r="I8" s="6" t="inlineStr">
        <is>
          <t>出口 IP 被 Cloudflare 整站 403</t>
        </is>
      </c>
    </row>
    <row r="9" ht="38" customHeight="1">
      <c r="B9" s="3" t="n">
        <v>5</v>
      </c>
      <c r="C9" s="4" t="inlineStr">
        <is>
          <t>investinglive_flash</t>
        </is>
      </c>
      <c r="D9" s="4" t="inlineStr">
        <is>
          <t>全球/多市场</t>
        </is>
      </c>
      <c r="E9" s="4" t="inlineStr">
        <is>
          <t>快讯流</t>
        </is>
      </c>
      <c r="F9" s="4" t="inlineStr">
        <is>
          <t>investingLive外汇/美股/宏观快讯(英文, 原ForexLive, FXStreet同赛道顶替)</t>
        </is>
      </c>
      <c r="G9" s="4" t="inlineStr">
        <is>
          <t>交易日滚动</t>
        </is>
      </c>
      <c r="H9" s="4" t="inlineStr">
        <is>
          <t>启用</t>
        </is>
      </c>
      <c r="I9" s="4" t="inlineStr">
        <is>
          <t>英文, FXStreet 同赛道顶替</t>
        </is>
      </c>
    </row>
    <row r="10" ht="22" customHeight="1">
      <c r="B10" s="5" t="n">
        <v>6</v>
      </c>
      <c r="C10" s="6" t="inlineStr">
        <is>
          <t>eastmoney_zaozhidao</t>
        </is>
      </c>
      <c r="D10" s="6" t="inlineStr">
        <is>
          <t>A股/中国</t>
        </is>
      </c>
      <c r="E10" s="6" t="inlineStr">
        <is>
          <t>同行文章</t>
        </is>
      </c>
      <c r="F10" s="6" t="inlineStr">
        <is>
          <t>东财搜索《早知道》系列</t>
        </is>
      </c>
      <c r="G10" s="6" t="inlineStr">
        <is>
          <t>每早</t>
        </is>
      </c>
      <c r="H10" s="6" t="inlineStr">
        <is>
          <t>启用</t>
        </is>
      </c>
      <c r="I10" s="6" t="inlineStr">
        <is>
          <t>《早知道》系列</t>
        </is>
      </c>
    </row>
    <row r="11" ht="22" customHeight="1">
      <c r="B11" s="3" t="n">
        <v>7</v>
      </c>
      <c r="C11" s="4" t="inlineStr">
        <is>
          <t>wscn_breakfast</t>
        </is>
      </c>
      <c r="D11" s="4" t="inlineStr">
        <is>
          <t>全球/多市场</t>
        </is>
      </c>
      <c r="E11" s="4" t="inlineStr">
        <is>
          <t>同行文章</t>
        </is>
      </c>
      <c r="F11" s="4" t="inlineStr">
        <is>
          <t>华尔街见闻早餐</t>
        </is>
      </c>
      <c r="G11" s="4" t="inlineStr">
        <is>
          <t>每早</t>
        </is>
      </c>
      <c r="H11" s="4" t="inlineStr">
        <is>
          <t>启用</t>
        </is>
      </c>
      <c r="I11" s="4" t="inlineStr">
        <is>
          <t>华尔街见闻早餐</t>
        </is>
      </c>
    </row>
    <row r="12" ht="22" customHeight="1">
      <c r="B12" s="5" t="n">
        <v>8</v>
      </c>
      <c r="C12" s="6" t="inlineStr">
        <is>
          <t>futu_morning</t>
        </is>
      </c>
      <c r="D12" s="6" t="inlineStr">
        <is>
          <t>港股</t>
        </is>
      </c>
      <c r="E12" s="6" t="inlineStr">
        <is>
          <t>同行文章</t>
        </is>
      </c>
      <c r="F12" s="6" t="inlineStr">
        <is>
          <t>富途《港美早报》</t>
        </is>
      </c>
      <c r="G12" s="6" t="inlineStr">
        <is>
          <t>工作日晨</t>
        </is>
      </c>
      <c r="H12" s="6" t="inlineStr">
        <is>
          <t>聚合</t>
        </is>
      </c>
      <c r="I12" s="6" t="inlineStr">
        <is>
          <t>富途《港美早报》</t>
        </is>
      </c>
    </row>
    <row r="13" ht="22" customHeight="1">
      <c r="B13" s="3" t="n">
        <v>9</v>
      </c>
      <c r="C13" s="4" t="inlineStr">
        <is>
          <t>cls_morning</t>
        </is>
      </c>
      <c r="D13" s="4" t="inlineStr">
        <is>
          <t>A股/中国</t>
        </is>
      </c>
      <c r="E13" s="4" t="inlineStr">
        <is>
          <t>同行文章</t>
        </is>
      </c>
      <c r="F13" s="4" t="inlineStr">
        <is>
          <t>财联社有声早报(专栏1151, 每日07:00)</t>
        </is>
      </c>
      <c r="G13" s="4" t="inlineStr">
        <is>
          <t>每日07:00</t>
        </is>
      </c>
      <c r="H13" s="4" t="inlineStr">
        <is>
          <t>聚合</t>
        </is>
      </c>
      <c r="I13" s="4" t="inlineStr">
        <is>
          <t>有声早报</t>
        </is>
      </c>
    </row>
    <row r="14" ht="22" customHeight="1">
      <c r="B14" s="5" t="n">
        <v>10</v>
      </c>
      <c r="C14" s="6" t="inlineStr">
        <is>
          <t>aa_morning</t>
        </is>
      </c>
      <c r="D14" s="6" t="inlineStr">
        <is>
          <t>土耳其</t>
        </is>
      </c>
      <c r="E14" s="6" t="inlineStr">
        <is>
          <t>同行文章</t>
        </is>
      </c>
      <c r="F14" s="6" t="inlineStr">
        <is>
          <t>AA安纳多卢通讯社英文晨报</t>
        </is>
      </c>
      <c r="G14" s="6" t="inlineStr">
        <is>
          <t>每日晨</t>
        </is>
      </c>
      <c r="H14" s="6" t="inlineStr">
        <is>
          <t>聚合</t>
        </is>
      </c>
      <c r="I14" s="6" t="inlineStr">
        <is>
          <t>AA 通讯社英文晨报</t>
        </is>
      </c>
    </row>
    <row r="15" ht="22" customHeight="1">
      <c r="B15" s="3" t="n">
        <v>11</v>
      </c>
      <c r="C15" s="4" t="inlineStr">
        <is>
          <t>turkey_morning</t>
        </is>
      </c>
      <c r="D15" s="4" t="inlineStr">
        <is>
          <t>土耳其</t>
        </is>
      </c>
      <c r="E15" s="4" t="inlineStr">
        <is>
          <t>同行文章</t>
        </is>
      </c>
      <c r="F15" s="4" t="inlineStr">
        <is>
          <t>BloombergHT土耳其市场</t>
        </is>
      </c>
      <c r="G15" s="4" t="inlineStr">
        <is>
          <t>交易日晨</t>
        </is>
      </c>
      <c r="H15" s="4" t="inlineStr">
        <is>
          <t>聚合</t>
        </is>
      </c>
      <c r="I15" s="4" t="inlineStr">
        <is>
          <t>BloombergHT</t>
        </is>
      </c>
    </row>
    <row r="16" ht="22" customHeight="1">
      <c r="B16" s="5" t="n">
        <v>12</v>
      </c>
      <c r="C16" s="6" t="inlineStr">
        <is>
          <t>cnbc_morning</t>
        </is>
      </c>
      <c r="D16" s="6" t="inlineStr">
        <is>
          <t>美股</t>
        </is>
      </c>
      <c r="E16" s="6" t="inlineStr">
        <is>
          <t>同行文章</t>
        </is>
      </c>
      <c r="F16" s="6" t="inlineStr">
        <is>
          <t>CNBC Daily Open美股晨报(工作日)</t>
        </is>
      </c>
      <c r="G16" s="6" t="inlineStr">
        <is>
          <t>工作日晨</t>
        </is>
      </c>
      <c r="H16" s="6" t="inlineStr">
        <is>
          <t>聚合</t>
        </is>
      </c>
      <c r="I16" s="6" t="inlineStr">
        <is>
          <t>CNBC Daily Open</t>
        </is>
      </c>
    </row>
    <row r="17" ht="22" customHeight="1">
      <c r="B17" s="3" t="n">
        <v>13</v>
      </c>
      <c r="C17" s="4" t="inlineStr">
        <is>
          <t>japan_morning</t>
        </is>
      </c>
      <c r="D17" s="4" t="inlineStr">
        <is>
          <t>日本</t>
        </is>
      </c>
      <c r="E17" s="4" t="inlineStr">
        <is>
          <t>同行文章</t>
        </is>
      </c>
      <c r="F17" s="4" t="inlineStr">
        <is>
          <t>共同社日本市场精选(当日RSS过滤)</t>
        </is>
      </c>
      <c r="G17" s="4" t="inlineStr">
        <is>
          <t>日内 RSS 过滤当日</t>
        </is>
      </c>
      <c r="H17" s="4" t="inlineStr">
        <is>
          <t>聚合</t>
        </is>
      </c>
      <c r="I17" s="4" t="inlineStr">
        <is>
          <t>共同社</t>
        </is>
      </c>
    </row>
    <row r="18" ht="22" customHeight="1">
      <c r="B18" s="5" t="n">
        <v>14</v>
      </c>
      <c r="C18" s="6" t="inlineStr">
        <is>
          <t>korea_morning</t>
        </is>
      </c>
      <c r="D18" s="6" t="inlineStr">
        <is>
          <t>韩国</t>
        </is>
      </c>
      <c r="E18" s="6" t="inlineStr">
        <is>
          <t>同行文章</t>
        </is>
      </c>
      <c r="F18" s="6" t="inlineStr">
        <is>
          <t>韩联社韩国市场精选(当日RSS过滤)</t>
        </is>
      </c>
      <c r="G18" s="6" t="inlineStr">
        <is>
          <t>日内 RSS 过滤当日</t>
        </is>
      </c>
      <c r="H18" s="6" t="inlineStr">
        <is>
          <t>聚合</t>
        </is>
      </c>
      <c r="I18" s="6" t="inlineStr">
        <is>
          <t>韩联社</t>
        </is>
      </c>
    </row>
    <row r="19" ht="22" customHeight="1">
      <c r="B19" s="3" t="n">
        <v>15</v>
      </c>
      <c r="C19" s="4" t="inlineStr">
        <is>
          <t>em_research</t>
        </is>
      </c>
      <c r="D19" s="4" t="inlineStr">
        <is>
          <t>A股/中国</t>
        </is>
      </c>
      <c r="E19" s="4" t="inlineStr">
        <is>
          <t>同行文章</t>
        </is>
      </c>
      <c r="F19" s="4" t="inlineStr">
        <is>
          <t>东财研报中心机构观点索引(晨会/宏观/策略)</t>
        </is>
      </c>
      <c r="G19" s="4" t="inlineStr">
        <is>
          <t>每日</t>
        </is>
      </c>
      <c r="H19" s="4" t="inlineStr">
        <is>
          <t>聚合</t>
        </is>
      </c>
      <c r="I19" s="4" t="inlineStr">
        <is>
          <t>机构观点索引</t>
        </is>
      </c>
    </row>
    <row r="20" ht="22" customHeight="1">
      <c r="B20" s="5" t="n">
        <v>16</v>
      </c>
      <c r="C20" s="6" t="inlineStr">
        <is>
          <t>sina_vip</t>
        </is>
      </c>
      <c r="D20" s="6" t="inlineStr">
        <is>
          <t>A股/中国</t>
        </is>
      </c>
      <c r="E20" s="6" t="inlineStr">
        <is>
          <t>同行文章</t>
        </is>
      </c>
      <c r="F20" s="6" t="inlineStr">
        <is>
          <t>新浪意见领袖(首席经济学家/大V观点)</t>
        </is>
      </c>
      <c r="G20" s="6" t="inlineStr">
        <is>
          <t>日内</t>
        </is>
      </c>
      <c r="H20" s="6" t="inlineStr">
        <is>
          <t>聚合</t>
        </is>
      </c>
      <c r="I20" s="6" t="inlineStr">
        <is>
          <t>首席经济学家/大V观点</t>
        </is>
      </c>
    </row>
    <row r="21" ht="22" customHeight="1">
      <c r="B21" s="3" t="n">
        <v>17</v>
      </c>
      <c r="C21" s="4" t="inlineStr">
        <is>
          <t>cnyes_tw</t>
        </is>
      </c>
      <c r="D21" s="4" t="inlineStr">
        <is>
          <t>台湾</t>
        </is>
      </c>
      <c r="E21" s="4" t="inlineStr">
        <is>
          <t>同行文章</t>
        </is>
      </c>
      <c r="F21" s="4" t="inlineStr">
        <is>
          <t>鉅亨网台股精选(当日, 周末照常)</t>
        </is>
      </c>
      <c r="G21" s="4" t="inlineStr">
        <is>
          <t>日内(周末照常)</t>
        </is>
      </c>
      <c r="H21" s="4" t="inlineStr">
        <is>
          <t>聚合</t>
        </is>
      </c>
      <c r="I21" s="4" t="inlineStr">
        <is>
          <t>鉅亨网台股精选</t>
        </is>
      </c>
    </row>
    <row r="22" ht="22" customHeight="1">
      <c r="B22" s="5" t="n">
        <v>18</v>
      </c>
      <c r="C22" s="6" t="inlineStr">
        <is>
          <t>etnet_open</t>
        </is>
      </c>
      <c r="D22" s="6" t="inlineStr">
        <is>
          <t>港股</t>
        </is>
      </c>
      <c r="E22" s="6" t="inlineStr">
        <is>
          <t>同行文章</t>
        </is>
      </c>
      <c r="F22" s="6" t="inlineStr">
        <is>
          <t>etnet經濟通開市Go港股晨报(工作日08:30)</t>
        </is>
      </c>
      <c r="G22" s="6" t="inlineStr">
        <is>
          <t>工作日 08:30</t>
        </is>
      </c>
      <c r="H22" s="6" t="inlineStr">
        <is>
          <t>聚合</t>
        </is>
      </c>
      <c r="I22" s="6" t="inlineStr">
        <is>
          <t>etnet 開市 Go</t>
        </is>
      </c>
    </row>
    <row r="23" ht="38" customHeight="1">
      <c r="B23" s="3" t="n">
        <v>19</v>
      </c>
      <c r="C23" s="4" t="inlineStr">
        <is>
          <t>newsquawk_open</t>
        </is>
      </c>
      <c r="D23" s="4" t="inlineStr">
        <is>
          <t>美股</t>
        </is>
      </c>
      <c r="E23" s="4" t="inlineStr">
        <is>
          <t>同行文章</t>
        </is>
      </c>
      <c r="F23" s="4" t="inlineStr">
        <is>
          <t>Newsquawk欧美市场开盘综述(交易日午后/傍晚)</t>
        </is>
      </c>
      <c r="G23" s="4" t="inlineStr">
        <is>
          <t>交易日午后/傍晚</t>
        </is>
      </c>
      <c r="H23" s="4" t="inlineStr">
        <is>
          <t>聚合</t>
        </is>
      </c>
      <c r="I23" s="4" t="inlineStr">
        <is>
          <t>欧美开盘综述</t>
        </is>
      </c>
    </row>
    <row r="24" ht="38" customHeight="1">
      <c r="B24" s="5" t="n">
        <v>20</v>
      </c>
      <c r="C24" s="6" t="inlineStr">
        <is>
          <t>smm_metals</t>
        </is>
      </c>
      <c r="D24" s="6" t="inlineStr">
        <is>
          <t>全球/多市场</t>
        </is>
      </c>
      <c r="E24" s="6" t="inlineStr">
        <is>
          <t>同行文章</t>
        </is>
      </c>
      <c r="F24" s="6" t="inlineStr">
        <is>
          <t>SMM上海有色网大宗商品日报(隔夜行情等系列, 资产类别源)</t>
        </is>
      </c>
      <c r="G24" s="6" t="inlineStr">
        <is>
          <t>每日</t>
        </is>
      </c>
      <c r="H24" s="6" t="inlineStr">
        <is>
          <t>聚合</t>
        </is>
      </c>
      <c r="I24" s="6" t="inlineStr">
        <is>
          <t>大宗商品日报</t>
        </is>
      </c>
    </row>
    <row r="25" ht="22" customHeight="1">
      <c r="B25" s="3" t="n">
        <v>21</v>
      </c>
      <c r="C25" s="4" t="inlineStr">
        <is>
          <t>gangtise</t>
        </is>
      </c>
      <c r="D25" s="4" t="inlineStr">
        <is>
          <t>A股/中国</t>
        </is>
      </c>
      <c r="E25" s="4" t="inlineStr">
        <is>
          <t>同行文章</t>
        </is>
      </c>
      <c r="F25" s="4" t="inlineStr">
        <is>
          <t>Gangtise投研日报(搜狗微信链)</t>
        </is>
      </c>
      <c r="G25" s="4" t="inlineStr">
        <is>
          <t>每日</t>
        </is>
      </c>
      <c r="H25" s="4" t="inlineStr">
        <is>
          <t>聚合</t>
        </is>
      </c>
      <c r="I25" s="4" t="inlineStr">
        <is>
          <t>搜狗微信链, 高风险</t>
        </is>
      </c>
    </row>
    <row r="26" ht="38" customHeight="1">
      <c r="B26" s="5" t="n">
        <v>22</v>
      </c>
      <c r="C26" s="6" t="inlineStr">
        <is>
          <t>yuanbao_gangtise</t>
        </is>
      </c>
      <c r="D26" s="6" t="inlineStr">
        <is>
          <t>A股/中国</t>
        </is>
      </c>
      <c r="E26" s="6" t="inlineStr">
        <is>
          <t>同行文章</t>
        </is>
      </c>
      <c r="F26" s="6" t="inlineStr">
        <is>
          <t>元宝取Gangtise投研日报(Playwright登录态, gangtise 的可靠替代)</t>
        </is>
      </c>
      <c r="G26" s="6" t="inlineStr">
        <is>
          <t>每日</t>
        </is>
      </c>
      <c r="H26" s="6" t="inlineStr">
        <is>
          <t>手动</t>
        </is>
      </c>
      <c r="I26" s="6" t="inlineStr">
        <is>
          <t>需 Playwright 登录态</t>
        </is>
      </c>
    </row>
    <row r="27" ht="22" customHeight="1">
      <c r="B27" s="3" t="n">
        <v>23</v>
      </c>
      <c r="C27" s="4" t="inlineStr">
        <is>
          <t>calendar</t>
        </is>
      </c>
      <c r="D27" s="4" t="inlineStr">
        <is>
          <t>全球/多市场</t>
        </is>
      </c>
      <c r="E27" s="4" t="inlineStr">
        <is>
          <t>日历</t>
        </is>
      </c>
      <c r="F27" s="4" t="inlineStr">
        <is>
          <t>财经日历(今日事件)</t>
        </is>
      </c>
      <c r="G27" s="4" t="inlineStr">
        <is>
          <t>日更</t>
        </is>
      </c>
      <c r="H27" s="4" t="inlineStr">
        <is>
          <t>组合·手动</t>
        </is>
      </c>
      <c r="I27" s="4" t="inlineStr">
        <is>
          <t>旧版式素材</t>
        </is>
      </c>
    </row>
    <row r="28" ht="22" customHeight="1">
      <c r="B28" s="5" t="n">
        <v>24</v>
      </c>
      <c r="C28" s="6" t="inlineStr">
        <is>
          <t>global_markets</t>
        </is>
      </c>
      <c r="D28" s="6" t="inlineStr">
        <is>
          <t>全球/多市场</t>
        </is>
      </c>
      <c r="E28" s="6" t="inlineStr">
        <is>
          <t>数据/宏观</t>
        </is>
      </c>
      <c r="F28" s="6" t="inlineStr">
        <is>
          <t>全球市场行情摘要</t>
        </is>
      </c>
      <c r="G28" s="6" t="inlineStr">
        <is>
          <t>盘中</t>
        </is>
      </c>
      <c r="H28" s="6" t="inlineStr">
        <is>
          <t>组合·手动</t>
        </is>
      </c>
      <c r="I28" s="6" t="inlineStr">
        <is>
          <t>旧版式素材</t>
        </is>
      </c>
    </row>
    <row r="29" ht="22" customHeight="1">
      <c r="B29" s="3" t="n">
        <v>25</v>
      </c>
      <c r="C29" s="4" t="inlineStr">
        <is>
          <t>cls_announcements</t>
        </is>
      </c>
      <c r="D29" s="4" t="inlineStr">
        <is>
          <t>A股/中国</t>
        </is>
      </c>
      <c r="E29" s="4" t="inlineStr">
        <is>
          <t>公告/披露</t>
        </is>
      </c>
      <c r="F29" s="4" t="inlineStr">
        <is>
          <t>财联社重点公告</t>
        </is>
      </c>
      <c r="G29" s="4" t="inlineStr">
        <is>
          <t>交易时段</t>
        </is>
      </c>
      <c r="H29" s="4" t="inlineStr">
        <is>
          <t>素材·手动</t>
        </is>
      </c>
      <c r="I29" s="4" t="inlineStr">
        <is>
          <t>版式素材条目</t>
        </is>
      </c>
    </row>
    <row r="30" ht="38" customHeight="1">
      <c r="B30" s="5" t="n">
        <v>26</v>
      </c>
      <c r="C30" s="6" t="inlineStr">
        <is>
          <t>peer_mornings</t>
        </is>
      </c>
      <c r="D30" s="6" t="inlineStr">
        <is>
          <t>全球/多市场</t>
        </is>
      </c>
      <c r="E30" s="6" t="inlineStr">
        <is>
          <t>聚合组</t>
        </is>
      </c>
      <c r="F30" s="6" t="inlineStr">
        <is>
          <t>同行早报聚合(富途+财联社+AA+BHT+CNBC+日韩台+etnet+SMM+gangtise)</t>
        </is>
      </c>
      <c r="G30" s="6" t="inlineStr">
        <is>
          <t>每早</t>
        </is>
      </c>
      <c r="H30" s="6" t="inlineStr">
        <is>
          <t>组合·手动</t>
        </is>
      </c>
      <c r="I30" s="6" t="inlineStr">
        <is>
          <t>17 源同行早报聚合入口</t>
        </is>
      </c>
    </row>
    <row r="31" ht="22" customHeight="1">
      <c r="B31" s="3" t="n">
        <v>27</v>
      </c>
      <c r="C31" s="4" t="inlineStr">
        <is>
          <t>extras</t>
        </is>
      </c>
      <c r="D31" s="4" t="inlineStr">
        <is>
          <t>全球/多市场</t>
        </is>
      </c>
      <c r="E31" s="4" t="inlineStr">
        <is>
          <t>素材组</t>
        </is>
      </c>
      <c r="F31" s="4" t="inlineStr">
        <is>
          <t>版式素材聚合(日历+行情+公告+同行)</t>
        </is>
      </c>
      <c r="G31" s="4" t="inlineStr">
        <is>
          <t>—</t>
        </is>
      </c>
      <c r="H31" s="4" t="inlineStr">
        <is>
          <t>组合·手动</t>
        </is>
      </c>
      <c r="I31" s="4" t="inlineStr">
        <is>
          <t>版式素材聚合入口</t>
        </is>
      </c>
    </row>
    <row r="32" ht="38" customHeight="1">
      <c r="B32" s="5" t="n">
        <v>28</v>
      </c>
      <c r="C32" s="6" t="inlineStr">
        <is>
          <t>marketaux_news</t>
        </is>
      </c>
      <c r="D32" s="6" t="inlineStr">
        <is>
          <t>美股</t>
        </is>
      </c>
      <c r="E32" s="6" t="inlineStr">
        <is>
          <t>快讯流</t>
        </is>
      </c>
      <c r="F32" s="6" t="inlineStr">
        <is>
          <t>备用|MarketAux美股市场新闻(标题+ticker标注, 免费~100次/天)</t>
        </is>
      </c>
      <c r="G32" s="6" t="inlineStr">
        <is>
          <t>滚动</t>
        </is>
      </c>
      <c r="H32" s="6" t="inlineStr">
        <is>
          <t>占位·待配key</t>
        </is>
      </c>
      <c r="I32" s="6" t="inlineStr">
        <is>
          <t>免费 ~100 次/天</t>
        </is>
      </c>
    </row>
    <row r="33" ht="38" customHeight="1">
      <c r="B33" s="3" t="n">
        <v>29</v>
      </c>
      <c r="C33" s="4" t="inlineStr">
        <is>
          <t>finnhub_news</t>
        </is>
      </c>
      <c r="D33" s="4" t="inlineStr">
        <is>
          <t>美股</t>
        </is>
      </c>
      <c r="E33" s="4" t="inlineStr">
        <is>
          <t>快讯流</t>
        </is>
      </c>
      <c r="F33" s="4" t="inlineStr">
        <is>
          <t>备用|Finnhub美股市场新闻headline流(免费60次/分)</t>
        </is>
      </c>
      <c r="G33" s="4" t="inlineStr">
        <is>
          <t>滚动</t>
        </is>
      </c>
      <c r="H33" s="4" t="inlineStr">
        <is>
          <t>占位·待配key</t>
        </is>
      </c>
      <c r="I33" s="4" t="inlineStr">
        <is>
          <t>免费 60 次/分</t>
        </is>
      </c>
    </row>
    <row r="34" ht="38" customHeight="1">
      <c r="B34" s="5" t="n">
        <v>30</v>
      </c>
      <c r="C34" s="6" t="inlineStr">
        <is>
          <t>alphavantage_news</t>
        </is>
      </c>
      <c r="D34" s="6" t="inlineStr">
        <is>
          <t>美股</t>
        </is>
      </c>
      <c r="E34" s="6" t="inlineStr">
        <is>
          <t>快讯流</t>
        </is>
      </c>
      <c r="F34" s="6" t="inlineStr">
        <is>
          <t>备用|AlphaVantage美股新闻+情绪标签(免费仅25次/天, 应急)</t>
        </is>
      </c>
      <c r="G34" s="6" t="inlineStr">
        <is>
          <t>滚动</t>
        </is>
      </c>
      <c r="H34" s="6" t="inlineStr">
        <is>
          <t>占位·待配key</t>
        </is>
      </c>
      <c r="I34" s="6" t="inlineStr">
        <is>
          <t>免费仅 25 次/天, 应急</t>
        </is>
      </c>
    </row>
    <row r="35" ht="38" customHeight="1">
      <c r="B35" s="3" t="n">
        <v>31</v>
      </c>
      <c r="C35" s="4" t="inlineStr">
        <is>
          <t>sec_edgar</t>
        </is>
      </c>
      <c r="D35" s="4" t="inlineStr">
        <is>
          <t>美股</t>
        </is>
      </c>
      <c r="E35" s="4" t="inlineStr">
        <is>
          <t>公告/披露</t>
        </is>
      </c>
      <c r="F35" s="4" t="inlineStr">
        <is>
          <t>备用|SEC EDGAR美股8-K重大公告(官方免费, 申报式UA内置)</t>
        </is>
      </c>
      <c r="G35" s="4" t="inlineStr">
        <is>
          <t>交易时段滚动</t>
        </is>
      </c>
      <c r="H35" s="4" t="inlineStr">
        <is>
          <t>启用</t>
        </is>
      </c>
      <c r="I35" s="4" t="inlineStr">
        <is>
          <t>官方 8-K 重大公告</t>
        </is>
      </c>
    </row>
    <row r="36" ht="38" customHeight="1">
      <c r="B36" s="5" t="n">
        <v>32</v>
      </c>
      <c r="C36" s="6" t="inlineStr">
        <is>
          <t>frankfurter_fx</t>
        </is>
      </c>
      <c r="D36" s="6" t="inlineStr">
        <is>
          <t>全球/多市场</t>
        </is>
      </c>
      <c r="E36" s="6" t="inlineStr">
        <is>
          <t>数据/宏观</t>
        </is>
      </c>
      <c r="F36" s="6" t="inlineStr">
        <is>
          <t>备用|Frankfurter汇率快照(ECB参考汇率, 无key, 交易日一更, 不含TWD)</t>
        </is>
      </c>
      <c r="G36" s="6" t="inlineStr">
        <is>
          <t>交易日一更</t>
        </is>
      </c>
      <c r="H36" s="6" t="inlineStr">
        <is>
          <t>启用</t>
        </is>
      </c>
      <c r="I36" s="6" t="inlineStr">
        <is>
          <t>ECB 参考汇率, 不含 TWD</t>
        </is>
      </c>
    </row>
    <row r="37" ht="38" customHeight="1">
      <c r="B37" s="3" t="n">
        <v>33</v>
      </c>
      <c r="C37" s="4" t="inlineStr">
        <is>
          <t>goldprice_metals</t>
        </is>
      </c>
      <c r="D37" s="4" t="inlineStr">
        <is>
          <t>全球/多市场</t>
        </is>
      </c>
      <c r="E37" s="4" t="inlineStr">
        <is>
          <t>数据/宏观</t>
        </is>
      </c>
      <c r="F37" s="4" t="inlineStr">
        <is>
          <t>备用|goldprice.dev金价快照(仅黄金, 无key)</t>
        </is>
      </c>
      <c r="G37" s="4" t="inlineStr">
        <is>
          <t>小时级</t>
        </is>
      </c>
      <c r="H37" s="4" t="inlineStr">
        <is>
          <t>启用</t>
        </is>
      </c>
      <c r="I37" s="4" t="inlineStr">
        <is>
          <t>仅黄金</t>
        </is>
      </c>
    </row>
    <row r="38" ht="38" customHeight="1">
      <c r="B38" s="5" t="n">
        <v>34</v>
      </c>
      <c r="C38" s="6" t="inlineStr">
        <is>
          <t>fred_macro</t>
        </is>
      </c>
      <c r="D38" s="6" t="inlineStr">
        <is>
          <t>美股</t>
        </is>
      </c>
      <c r="E38" s="6" t="inlineStr">
        <is>
          <t>数据/宏观</t>
        </is>
      </c>
      <c r="F38" s="6" t="inlineStr">
        <is>
          <t>备用|FRED美宏观CPI/失业率/利率/10Y国债最新值(免费key即申即得)</t>
        </is>
      </c>
      <c r="G38" s="6" t="inlineStr">
        <is>
          <t>日更</t>
        </is>
      </c>
      <c r="H38" s="6" t="inlineStr">
        <is>
          <t>占位·待配key</t>
        </is>
      </c>
      <c r="I38" s="6" t="inlineStr">
        <is>
          <t>免费 key 即申即得</t>
        </is>
      </c>
    </row>
    <row r="39" ht="38" customHeight="1">
      <c r="B39" s="3" t="n">
        <v>35</v>
      </c>
      <c r="C39" s="4" t="inlineStr">
        <is>
          <t>cls_telegraph</t>
        </is>
      </c>
      <c r="D39" s="4" t="inlineStr">
        <is>
          <t>A股/中国</t>
        </is>
      </c>
      <c r="E39" s="4" t="inlineStr">
        <is>
          <t>快讯流</t>
        </is>
      </c>
      <c r="F39" s="4" t="inlineStr">
        <is>
          <t>财联社电报快讯流(本地签名零key, 7×24实时)</t>
        </is>
      </c>
      <c r="G39" s="4" t="inlineStr">
        <is>
          <t>7×24 实时</t>
        </is>
      </c>
      <c r="H39" s="4" t="inlineStr">
        <is>
          <t>启用</t>
        </is>
      </c>
      <c r="I39" s="4" t="inlineStr">
        <is>
          <t>本地签名零key</t>
        </is>
      </c>
    </row>
    <row r="40" ht="38" customHeight="1">
      <c r="B40" s="5" t="n">
        <v>36</v>
      </c>
      <c r="C40" s="6" t="inlineStr">
        <is>
          <t>eastmoney_global</t>
        </is>
      </c>
      <c r="D40" s="6" t="inlineStr">
        <is>
          <t>全球/多市场</t>
        </is>
      </c>
      <c r="E40" s="6" t="inlineStr">
        <is>
          <t>快讯流</t>
        </is>
      </c>
      <c r="F40" s="6" t="inlineStr">
        <is>
          <t>东财全球资讯快讯(美/港/宏观, 与电报不同风控面备胎)</t>
        </is>
      </c>
      <c r="G40" s="6" t="inlineStr">
        <is>
          <t>日内滚动</t>
        </is>
      </c>
      <c r="H40" s="6" t="inlineStr">
        <is>
          <t>启用</t>
        </is>
      </c>
      <c r="I40" s="6" t="inlineStr">
        <is>
          <t>美/港/宏观, 与电报不同风控面</t>
        </is>
      </c>
    </row>
    <row r="41" ht="38" customHeight="1">
      <c r="B41" s="3" t="n">
        <v>37</v>
      </c>
      <c r="C41" s="4" t="inlineStr">
        <is>
          <t>cninfo_latest</t>
        </is>
      </c>
      <c r="D41" s="4" t="inlineStr">
        <is>
          <t>A股/中国</t>
        </is>
      </c>
      <c r="E41" s="4" t="inlineStr">
        <is>
          <t>公告/披露</t>
        </is>
      </c>
      <c r="F41" s="4" t="inlineStr">
        <is>
          <t>巨潮全市场最新公告(A股官方信披, 按日期归集)</t>
        </is>
      </c>
      <c r="G41" s="4" t="inlineStr">
        <is>
          <t>按日期归集</t>
        </is>
      </c>
      <c r="H41" s="4" t="inlineStr">
        <is>
          <t>启用</t>
        </is>
      </c>
      <c r="I41" s="4" t="inlineStr">
        <is>
          <t>A股官方信披</t>
        </is>
      </c>
    </row>
    <row r="42" ht="38" customHeight="1">
      <c r="B42" s="5" t="n">
        <v>38</v>
      </c>
      <c r="C42" s="6" t="inlineStr">
        <is>
          <t>nbs_pmi</t>
        </is>
      </c>
      <c r="D42" s="6" t="inlineStr">
        <is>
          <t>A股/中国</t>
        </is>
      </c>
      <c r="E42" s="6" t="inlineStr">
        <is>
          <t>数据/宏观</t>
        </is>
      </c>
      <c r="F42" s="6" t="inlineStr">
        <is>
          <t>国家统计局PMI(月度, 制造业/非制造业/综合+企业分档, 官方)</t>
        </is>
      </c>
      <c r="G42" s="6" t="inlineStr">
        <is>
          <t>月度</t>
        </is>
      </c>
      <c r="H42" s="6" t="inlineStr">
        <is>
          <t>启用</t>
        </is>
      </c>
      <c r="I42" s="6" t="inlineStr">
        <is>
          <t>官方; 首页滚出后翻页兜底</t>
        </is>
      </c>
    </row>
    <row r="43" ht="38" customHeight="1">
      <c r="B43" s="3" t="n">
        <v>39</v>
      </c>
      <c r="C43" s="4" t="inlineStr">
        <is>
          <t>pboc_social_financing</t>
        </is>
      </c>
      <c r="D43" s="4" t="inlineStr">
        <is>
          <t>A股/中国</t>
        </is>
      </c>
      <c r="E43" s="4" t="inlineStr">
        <is>
          <t>数据/宏观</t>
        </is>
      </c>
      <c r="F43" s="4" t="inlineStr">
        <is>
          <t>人民银行社融增量(月度, 总量+贷款/政府债/企业债, 官方)</t>
        </is>
      </c>
      <c r="G43" s="4" t="inlineStr">
        <is>
          <t>月度</t>
        </is>
      </c>
      <c r="H43" s="4" t="inlineStr">
        <is>
          <t>启用</t>
        </is>
      </c>
      <c r="I43" s="4" t="inlineStr">
        <is>
          <t>官方, 总量+结构</t>
        </is>
      </c>
    </row>
    <row r="44" ht="38" customHeight="1">
      <c r="B44" s="5" t="n">
        <v>40</v>
      </c>
      <c r="C44" s="6" t="inlineStr">
        <is>
          <t>treasury_yield_curve</t>
        </is>
      </c>
      <c r="D44" s="6" t="inlineStr">
        <is>
          <t>美股</t>
        </is>
      </c>
      <c r="E44" s="6" t="inlineStr">
        <is>
          <t>数据/宏观</t>
        </is>
      </c>
      <c r="F44" s="6" t="inlineStr">
        <is>
          <t>美债收益率曲线日更(3M/2Y/10Y/30Y+10Y-2Y利差, 官方)</t>
        </is>
      </c>
      <c r="G44" s="6" t="inlineStr">
        <is>
          <t>日更</t>
        </is>
      </c>
      <c r="H44" s="6" t="inlineStr">
        <is>
          <t>启用</t>
        </is>
      </c>
      <c r="I44" s="6" t="inlineStr">
        <is>
          <t>3M/2Y/10Y/30Y + 10Y-2Y 利差</t>
        </is>
      </c>
    </row>
    <row r="45" ht="38" customHeight="1">
      <c r="B45" s="3" t="n">
        <v>41</v>
      </c>
      <c r="C45" s="4" t="inlineStr">
        <is>
          <t>cftc_cot</t>
        </is>
      </c>
      <c r="D45" s="4" t="inlineStr">
        <is>
          <t>全球/多市场</t>
        </is>
      </c>
      <c r="E45" s="4" t="inlineStr">
        <is>
          <t>数据/宏观</t>
        </is>
      </c>
      <c r="F45" s="4" t="inlineStr">
        <is>
          <t>CFTC持仓周报(金银铜油/外汇/股指投机净多, 官方Socrata)</t>
        </is>
      </c>
      <c r="G45" s="4" t="inlineStr">
        <is>
          <t>周度</t>
        </is>
      </c>
      <c r="H45" s="4" t="inlineStr">
        <is>
          <t>启用</t>
        </is>
      </c>
      <c r="I45" s="4" t="inlineStr">
        <is>
          <t>官方 Socrata, 金银铜油/外汇/股指净多</t>
        </is>
      </c>
    </row>
    <row r="46" ht="38" customHeight="1">
      <c r="B46" s="5" t="n">
        <v>42</v>
      </c>
      <c r="C46" s="6" t="inlineStr">
        <is>
          <t>nasdaq_earnings</t>
        </is>
      </c>
      <c r="D46" s="6" t="inlineStr">
        <is>
          <t>美股</t>
        </is>
      </c>
      <c r="E46" s="6" t="inlineStr">
        <is>
          <t>数据/宏观</t>
        </is>
      </c>
      <c r="F46" s="6" t="inlineStr">
        <is>
          <t>Nasdaq美股财报日历(当日披露+预期EPS, 周末/假期无数据正常)</t>
        </is>
      </c>
      <c r="G46" s="6" t="inlineStr">
        <is>
          <t>交易日</t>
        </is>
      </c>
      <c r="H46" s="6" t="inlineStr">
        <is>
          <t>启用</t>
        </is>
      </c>
      <c r="I46" s="6" t="inlineStr">
        <is>
          <t>财报日历; 周末/假期空属正常</t>
        </is>
      </c>
    </row>
    <row r="47" ht="38" customHeight="1">
      <c r="B47" s="3" t="n">
        <v>43</v>
      </c>
      <c r="C47" s="4" t="inlineStr">
        <is>
          <t>gelonghui</t>
        </is>
      </c>
      <c r="D47" s="4" t="inlineStr">
        <is>
          <t>港股</t>
        </is>
      </c>
      <c r="E47" s="4" t="inlineStr">
        <is>
          <t>同行文章</t>
        </is>
      </c>
      <c r="F47" s="4" t="inlineStr">
        <is>
          <t>格隆汇精选(港/美/A评论要闻, 早报聚合17源之一)</t>
        </is>
      </c>
      <c r="G47" s="4" t="inlineStr">
        <is>
          <t>日更</t>
        </is>
      </c>
      <c r="H47" s="4" t="inlineStr">
        <is>
          <t>启用</t>
        </is>
      </c>
      <c r="I47" s="4" t="inlineStr">
        <is>
          <t>港/美/A 评论要闻</t>
        </is>
      </c>
    </row>
    <row r="48" ht="38" customHeight="1">
      <c r="B48" s="5" t="n">
        <v>44</v>
      </c>
      <c r="C48" s="6" t="inlineStr">
        <is>
          <t>miningcom</t>
        </is>
      </c>
      <c r="D48" s="6" t="inlineStr">
        <is>
          <t>全球/多市场</t>
        </is>
      </c>
      <c r="E48" s="6" t="inlineStr">
        <is>
          <t>同行文章</t>
        </is>
      </c>
      <c r="F48" s="6" t="inlineStr">
        <is>
          <t>MINING.COM大宗矿业新闻机器汇总(当日RSS条目, 资产类别源)</t>
        </is>
      </c>
      <c r="G48" s="6" t="inlineStr">
        <is>
          <t>日更</t>
        </is>
      </c>
      <c r="H48" s="6" t="inlineStr">
        <is>
          <t>启用</t>
        </is>
      </c>
      <c r="I48" s="6" t="inlineStr">
        <is>
          <t>大宗矿业新闻汇总</t>
        </is>
      </c>
    </row>
    <row r="49" ht="38" customHeight="1">
      <c r="B49" s="3" t="n">
        <v>45</v>
      </c>
      <c r="C49" s="4" t="inlineStr">
        <is>
          <t>liberty_street</t>
        </is>
      </c>
      <c r="D49" s="4" t="inlineStr">
        <is>
          <t>美股</t>
        </is>
      </c>
      <c r="E49" s="4" t="inlineStr">
        <is>
          <t>同行文章</t>
        </is>
      </c>
      <c r="F49" s="4" t="inlineStr">
        <is>
          <t>纽约联储Liberty Street分析博客(联储经济学家, 周1-2篇)</t>
        </is>
      </c>
      <c r="G49" s="4" t="inlineStr">
        <is>
          <t>周 1-2 篇</t>
        </is>
      </c>
      <c r="H49" s="4" t="inlineStr">
        <is>
          <t>启用</t>
        </is>
      </c>
      <c r="I49" s="4" t="inlineStr">
        <is>
          <t>联储经济学家分析博客</t>
        </is>
      </c>
    </row>
    <row r="50" ht="54" customHeight="1">
      <c r="B50" s="5" t="n">
        <v>46</v>
      </c>
      <c r="C50" s="6" t="inlineStr">
        <is>
          <t>wscn_live</t>
        </is>
      </c>
      <c r="D50" s="6" t="inlineStr">
        <is>
          <t>全球/多市场</t>
        </is>
      </c>
      <c r="E50" s="6" t="inlineStr">
        <is>
          <t>快讯流</t>
        </is>
      </c>
      <c r="F50" s="6" t="inlineStr">
        <is>
          <t>见闻全球快讯(官方API零key, 与见闻早餐文章互补的实时流; 全球频道含非财经条目, 下游粗筛过滤)</t>
        </is>
      </c>
      <c r="G50" s="6" t="inlineStr">
        <is>
          <t>7×24</t>
        </is>
      </c>
      <c r="H50" s="6" t="inlineStr">
        <is>
          <t>启用</t>
        </is>
      </c>
      <c r="I50" s="6" t="inlineStr">
        <is>
          <t>含非财经条目, 下游粗筛</t>
        </is>
      </c>
    </row>
    <row r="51" ht="38" customHeight="1">
      <c r="B51" s="3" t="n">
        <v>47</v>
      </c>
      <c r="C51" s="4" t="inlineStr">
        <is>
          <t>longbridge_topics</t>
        </is>
      </c>
      <c r="D51" s="4" t="inlineStr">
        <is>
          <t>港股</t>
        </is>
      </c>
      <c r="E51" s="4" t="inlineStr">
        <is>
          <t>快讯流</t>
        </is>
      </c>
      <c r="F51" s="4" t="inlineStr">
        <is>
          <t>长桥海豚要闻(港美券商话题热点, 页内TanStack脱水JSON解析)</t>
        </is>
      </c>
      <c r="G51" s="4" t="inlineStr">
        <is>
          <t>日内</t>
        </is>
      </c>
      <c r="H51" s="4" t="inlineStr">
        <is>
          <t>启用</t>
        </is>
      </c>
      <c r="I51" s="4" t="inlineStr">
        <is>
          <t>港美券商话题, TanStack 脱水 JSON 解析</t>
        </is>
      </c>
    </row>
    <row r="52" ht="38" customHeight="1">
      <c r="B52" s="5" t="n">
        <v>48</v>
      </c>
      <c r="C52" s="6" t="inlineStr">
        <is>
          <t>jin10_calendar</t>
        </is>
      </c>
      <c r="D52" s="6" t="inlineStr">
        <is>
          <t>全球/多市场</t>
        </is>
      </c>
      <c r="E52" s="6" t="inlineStr">
        <is>
          <t>数据/宏观</t>
        </is>
      </c>
      <c r="F52" s="6" t="inlineStr">
        <is>
          <t>金十财经日历(经济数据+事件+星级; 2026-08-31起官方CDN域名NXDOMAIN, 待恢复)</t>
        </is>
      </c>
      <c r="G52" s="6" t="inlineStr">
        <is>
          <t>日更</t>
        </is>
      </c>
      <c r="H52" s="6" t="inlineStr">
        <is>
          <t>占位·被拦待恢复</t>
        </is>
      </c>
      <c r="I52" s="6" t="inlineStr">
        <is>
          <t>官方 CDN 域名 NXDOMAIN</t>
        </is>
      </c>
    </row>
    <row r="53" ht="38" customHeight="1">
      <c r="B53" s="3" t="n">
        <v>49</v>
      </c>
      <c r="C53" s="4" t="inlineStr">
        <is>
          <t>ths_flash</t>
        </is>
      </c>
      <c r="D53" s="4" t="inlineStr">
        <is>
          <t>A股/中国</t>
        </is>
      </c>
      <c r="E53" s="4" t="inlineStr">
        <is>
          <t>快讯流</t>
        </is>
      </c>
      <c r="F53" s="4" t="inlineStr">
        <is>
          <t>同花顺全球财经直播快讯(带重要性标记, 与东财/财联社不同风控面)</t>
        </is>
      </c>
      <c r="G53" s="4" t="inlineStr">
        <is>
          <t>7×24 滚动</t>
        </is>
      </c>
      <c r="H53" s="4" t="inlineStr">
        <is>
          <t>启用</t>
        </is>
      </c>
      <c r="I53" s="4" t="inlineStr">
        <is>
          <t>带官方重要性标记</t>
        </is>
      </c>
    </row>
    <row r="54" ht="38" customHeight="1">
      <c r="B54" s="5" t="n">
        <v>50</v>
      </c>
      <c r="C54" s="6" t="inlineStr">
        <is>
          <t>caixin_flash</t>
        </is>
      </c>
      <c r="D54" s="6" t="inlineStr">
        <is>
          <t>A股/中国</t>
        </is>
      </c>
      <c r="E54" s="6" t="inlineStr">
        <is>
          <t>快讯流</t>
        </is>
      </c>
      <c r="F54" s="6" t="inlineStr">
        <is>
          <t>财新数据通快讯(高质量中文财经, 带栏目标签)</t>
        </is>
      </c>
      <c r="G54" s="6" t="inlineStr">
        <is>
          <t>每日滚动</t>
        </is>
      </c>
      <c r="H54" s="6" t="inlineStr">
        <is>
          <t>启用</t>
        </is>
      </c>
      <c r="I54" s="6" t="inlineStr">
        <is>
          <t>高质量中文财经, 带栏目标签</t>
        </is>
      </c>
    </row>
    <row r="55" ht="38" customHeight="1">
      <c r="B55" s="3" t="n">
        <v>51</v>
      </c>
      <c r="C55" s="4" t="inlineStr">
        <is>
          <t>yahoo_headlines</t>
        </is>
      </c>
      <c r="D55" s="4" t="inlineStr">
        <is>
          <t>美股</t>
        </is>
      </c>
      <c r="E55" s="4" t="inlineStr">
        <is>
          <t>快讯流</t>
        </is>
      </c>
      <c r="F55" s="4" t="inlineStr">
        <is>
          <t>Yahoo财经大盘头条RSS(美股盘面英文, 出版方署名)</t>
        </is>
      </c>
      <c r="G55" s="4" t="inlineStr">
        <is>
          <t>交易日滚动</t>
        </is>
      </c>
      <c r="H55" s="4" t="inlineStr">
        <is>
          <t>启用</t>
        </is>
      </c>
      <c r="I55" s="4" t="inlineStr">
        <is>
          <t>大盘头条英文, 可换 symbol</t>
        </is>
      </c>
    </row>
    <row r="56" ht="38" customHeight="1">
      <c r="B56" s="5" t="n">
        <v>52</v>
      </c>
      <c r="C56" s="6" t="inlineStr">
        <is>
          <t>sec_insider</t>
        </is>
      </c>
      <c r="D56" s="6" t="inlineStr">
        <is>
          <t>美股</t>
        </is>
      </c>
      <c r="E56" s="6" t="inlineStr">
        <is>
          <t>公告/披露</t>
        </is>
      </c>
      <c r="F56" s="6" t="inlineStr">
        <is>
          <t>SEC Form4内部人交易申报(高管/大股东买卖, 与sec_edgar同端点type=4)</t>
        </is>
      </c>
      <c r="G56" s="6" t="inlineStr">
        <is>
          <t>交易时段滚动</t>
        </is>
      </c>
      <c r="H56" s="6" t="inlineStr">
        <is>
          <t>启用</t>
        </is>
      </c>
      <c r="I56" s="6" t="inlineStr">
        <is>
          <t>官方 Form4 内部人交易</t>
        </is>
      </c>
    </row>
    <row r="57" ht="54" customHeight="1">
      <c r="B57" s="3" t="n">
        <v>53</v>
      </c>
      <c r="C57" s="4" t="inlineStr">
        <is>
          <t>cctv_xwlb</t>
        </is>
      </c>
      <c r="D57" s="4" t="inlineStr">
        <is>
          <t>A股/中国</t>
        </is>
      </c>
      <c r="E57" s="4" t="inlineStr">
        <is>
          <t>同行文章</t>
        </is>
      </c>
      <c r="F57" s="4" t="inlineStr">
        <is>
          <t>央视新闻联播当日文字稿(A股政策信号: 国常会/部委/立法; 时政占比高供synth背景, 不入聚合)</t>
        </is>
      </c>
      <c r="G57" s="4" t="inlineStr">
        <is>
          <t>每日19:00</t>
        </is>
      </c>
      <c r="H57" s="4" t="inlineStr">
        <is>
          <t>启用</t>
        </is>
      </c>
      <c r="I57" s="4" t="inlineStr">
        <is>
          <t>政策信号, 不入聚合, 供synth背景</t>
        </is>
      </c>
    </row>
    <row r="58" ht="38" customHeight="1">
      <c r="B58" s="5" t="n">
        <v>54</v>
      </c>
      <c r="C58" s="6" t="inlineStr">
        <is>
          <t>polymarket_sentiment</t>
        </is>
      </c>
      <c r="D58" s="6" t="inlineStr">
        <is>
          <t>美股</t>
        </is>
      </c>
      <c r="E58" s="6" t="inlineStr">
        <is>
          <t>数据/宏观</t>
        </is>
      </c>
      <c r="F58" s="6" t="inlineStr">
        <is>
          <t>Polymarket预测市场财经情绪(活跃财经市场概率+24h成交量, 零key)</t>
        </is>
      </c>
      <c r="G58" s="6" t="inlineStr">
        <is>
          <t>实时</t>
        </is>
      </c>
      <c r="H58" s="6" t="inlineStr">
        <is>
          <t>启用</t>
        </is>
      </c>
      <c r="I58" s="6" t="inlineStr">
        <is>
          <t>预测市场财经概率+24h量</t>
        </is>
      </c>
    </row>
    <row r="59" ht="54" customHeight="1">
      <c r="B59" s="3" t="n">
        <v>55</v>
      </c>
      <c r="C59" s="4" t="inlineStr">
        <is>
          <t>stocktwits_stream</t>
        </is>
      </c>
      <c r="D59" s="4" t="inlineStr">
        <is>
          <t>美股</t>
        </is>
      </c>
      <c r="E59" s="4" t="inlineStr">
        <is>
          <t>快讯流</t>
        </is>
      </c>
      <c r="F59" s="4" t="inlineStr">
        <is>
          <t>StockTwits美股情绪流(散户+大V观点, 带Bullish/Bearish标记; 2026-08-31出口IP被Cloudflare拦截, 待恢复)</t>
        </is>
      </c>
      <c r="G59" s="4" t="inlineStr">
        <is>
          <t>交易时段高频</t>
        </is>
      </c>
      <c r="H59" s="4" t="inlineStr">
        <is>
          <t>占位·被拦待恢复</t>
        </is>
      </c>
      <c r="I59" s="4" t="inlineStr">
        <is>
          <t>Cloudflare 挑战拦截</t>
        </is>
      </c>
    </row>
    <row r="60" ht="38" customHeight="1">
      <c r="B60" s="5" t="n">
        <v>56</v>
      </c>
      <c r="C60" s="6" t="inlineStr">
        <is>
          <t>reddit_hot</t>
        </is>
      </c>
      <c r="D60" s="6" t="inlineStr">
        <is>
          <t>美股</t>
        </is>
      </c>
      <c r="E60" s="6" t="inlineStr">
        <is>
          <t>快讯流</t>
        </is>
      </c>
      <c r="F60" s="6" t="inlineStr">
        <is>
          <t>Reddit财经sub热帖(观点/情绪, 标题+分数+评论数; 需免费OAuth凭证)</t>
        </is>
      </c>
      <c r="G60" s="6" t="inlineStr">
        <is>
          <t>全天滚动</t>
        </is>
      </c>
      <c r="H60" s="6" t="inlineStr">
        <is>
          <t>占位·待配key</t>
        </is>
      </c>
      <c r="I60" s="6" t="inlineStr">
        <is>
          <t>免费 OAuth, reddit.com/prefs/apps 即申即得</t>
        </is>
      </c>
    </row>
    <row r="61" ht="38" customHeight="1">
      <c r="B61" s="3" t="n">
        <v>57</v>
      </c>
      <c r="C61" s="4" t="inlineStr">
        <is>
          <t>cn_index_snapshot</t>
        </is>
      </c>
      <c r="D61" s="4" t="inlineStr">
        <is>
          <t>A股/中国</t>
        </is>
      </c>
      <c r="E61" s="4" t="inlineStr">
        <is>
          <t>数据/宏观</t>
        </is>
      </c>
      <c r="F61" s="4" t="inlineStr">
        <is>
          <t>A股指数快照(上证/深成/创业板/科创50, 新浪hq零key)</t>
        </is>
      </c>
      <c r="G61" s="4" t="inlineStr">
        <is>
          <t>盘中实时</t>
        </is>
      </c>
      <c r="H61" s="4" t="inlineStr">
        <is>
          <t>启用</t>
        </is>
      </c>
      <c r="I61" s="4" t="inlineStr">
        <is>
          <t>market-review 复盘工作流用</t>
        </is>
      </c>
    </row>
    <row r="62" ht="38" customHeight="1">
      <c r="B62" s="5" t="n">
        <v>58</v>
      </c>
      <c r="C62" s="6" t="inlineStr">
        <is>
          <t>em_sector_board</t>
        </is>
      </c>
      <c r="D62" s="6" t="inlineStr">
        <is>
          <t>A股/中国</t>
        </is>
      </c>
      <c r="E62" s="6" t="inlineStr">
        <is>
          <t>数据/宏观</t>
        </is>
      </c>
      <c r="F62" s="6" t="inlineStr">
        <is>
          <t>东财板块涨跌榜(行业/概念 领涨+领跌各Top5, 零key)</t>
        </is>
      </c>
      <c r="G62" s="6" t="inlineStr">
        <is>
          <t>交易日</t>
        </is>
      </c>
      <c r="H62" s="6" t="inlineStr">
        <is>
          <t>启用</t>
        </is>
      </c>
      <c r="I62" s="6" t="inlineStr">
        <is>
          <t>东财主+新浪备双风控面</t>
        </is>
      </c>
    </row>
    <row r="63" ht="38" customHeight="1">
      <c r="B63" s="3" t="n">
        <v>59</v>
      </c>
      <c r="C63" s="4" t="inlineStr">
        <is>
          <t>tcmb_fx</t>
        </is>
      </c>
      <c r="D63" s="4" t="inlineStr">
        <is>
          <t>土耳其</t>
        </is>
      </c>
      <c r="E63" s="4" t="inlineStr">
        <is>
          <t>数据/宏观</t>
        </is>
      </c>
      <c r="F63" s="4" t="inlineStr">
        <is>
          <t>土耳其中行每日汇率牌价(USD/EUR等现汇买卖价, 官方XML零key, 交易日一更)</t>
        </is>
      </c>
      <c r="G63" s="4" t="inlineStr">
        <is>
          <t>交易日 15:30 TRT</t>
        </is>
      </c>
      <c r="H63" s="4" t="inlineStr">
        <is>
          <t>启用</t>
        </is>
      </c>
      <c r="I63" s="4" t="inlineStr">
        <is>
          <t>央行官方汇率牌价 XML</t>
        </is>
      </c>
    </row>
    <row r="64" ht="38" customHeight="1">
      <c r="B64" s="5" t="n">
        <v>60</v>
      </c>
      <c r="C64" s="6" t="inlineStr">
        <is>
          <t>dailysabah_rss</t>
        </is>
      </c>
      <c r="D64" s="6" t="inlineStr">
        <is>
          <t>土耳其</t>
        </is>
      </c>
      <c r="E64" s="6" t="inlineStr">
        <is>
          <t>快讯流</t>
        </is>
      </c>
      <c r="F64" s="6" t="inlineStr">
        <is>
          <t>Daily Sabah商业新闻流(土耳其英文财经, 日内高频)</t>
        </is>
      </c>
      <c r="G64" s="6" t="inlineStr">
        <is>
          <t>日内高频</t>
        </is>
      </c>
      <c r="H64" s="6" t="inlineStr">
        <is>
          <t>启用</t>
        </is>
      </c>
      <c r="I64" s="6" t="inlineStr">
        <is>
          <t>英文商业新闻</t>
        </is>
      </c>
    </row>
    <row r="65" ht="38" customHeight="1">
      <c r="B65" s="3" t="n">
        <v>61</v>
      </c>
      <c r="C65" s="4" t="inlineStr">
        <is>
          <t>hurriyet_rss</t>
        </is>
      </c>
      <c r="D65" s="4" t="inlineStr">
        <is>
          <t>土耳其</t>
        </is>
      </c>
      <c r="E65" s="4" t="inlineStr">
        <is>
          <t>快讯流</t>
        </is>
      </c>
      <c r="F65" s="4" t="inlineStr">
        <is>
          <t>Hürriyet Daily News商业新闻流(土耳其英文, 带全文摘要)</t>
        </is>
      </c>
      <c r="G65" s="4" t="inlineStr">
        <is>
          <t>日内多次</t>
        </is>
      </c>
      <c r="H65" s="4" t="inlineStr">
        <is>
          <t>启用</t>
        </is>
      </c>
      <c r="I65" s="4" t="inlineStr">
        <is>
          <t>英文; business 频道已死, 接 /rss/news</t>
        </is>
      </c>
    </row>
    <row r="66" ht="38" customHeight="1">
      <c r="B66" s="5" t="n">
        <v>62</v>
      </c>
      <c r="C66" s="6" t="inlineStr">
        <is>
          <t>dunya_rss</t>
        </is>
      </c>
      <c r="D66" s="6" t="inlineStr">
        <is>
          <t>土耳其</t>
        </is>
      </c>
      <c r="E66" s="6" t="inlineStr">
        <is>
          <t>快讯流</t>
        </is>
      </c>
      <c r="F66" s="6" t="inlineStr">
        <is>
          <t>Dünya世界报(土耳其主流财经日报, 土语, 5分钟刷新)</t>
        </is>
      </c>
      <c r="G66" s="6" t="inlineStr">
        <is>
          <t>5 分钟刷新</t>
        </is>
      </c>
      <c r="H66" s="6" t="inlineStr">
        <is>
          <t>启用</t>
        </is>
      </c>
      <c r="I66" s="6" t="inlineStr">
        <is>
          <t>土语主流财经日报</t>
        </is>
      </c>
    </row>
    <row r="67" ht="38" customHeight="1">
      <c r="B67" s="3" t="n">
        <v>63</v>
      </c>
      <c r="C67" s="4" t="inlineStr">
        <is>
          <t>tcmb_evds</t>
        </is>
      </c>
      <c r="D67" s="4" t="inlineStr">
        <is>
          <t>土耳其</t>
        </is>
      </c>
      <c r="E67" s="4" t="inlineStr">
        <is>
          <t>数据/宏观</t>
        </is>
      </c>
      <c r="F67" s="4" t="inlineStr">
        <is>
          <t>备用|土耳其央行EVDS2宏观序列API(利率/通胀/汇率, 免费key即申即得)</t>
        </is>
      </c>
      <c r="G67" s="4" t="inlineStr">
        <is>
          <t>按指标发布</t>
        </is>
      </c>
      <c r="H67" s="4" t="inlineStr">
        <is>
          <t>占位·待配key</t>
        </is>
      </c>
      <c r="I67" s="4" t="inlineStr">
        <is>
          <t>央行 EVDS2 宏观序列, 免费 key 即申即得</t>
        </is>
      </c>
    </row>
    <row r="68" ht="38" customHeight="1">
      <c r="B68" s="5" t="n">
        <v>64</v>
      </c>
      <c r="C68" s="6" t="inlineStr">
        <is>
          <t>cna_flash</t>
        </is>
      </c>
      <c r="D68" s="6" t="inlineStr">
        <is>
          <t>台湾</t>
        </is>
      </c>
      <c r="E68" s="6" t="inlineStr">
        <is>
          <t>快讯流</t>
        </is>
      </c>
      <c r="F68" s="6" t="inlineStr">
        <is>
          <t>中央社财经快讯(台湾官方通讯社JSON API, 產經分类零key)</t>
        </is>
      </c>
      <c r="G68" s="6" t="inlineStr">
        <is>
          <t>日内高频</t>
        </is>
      </c>
      <c r="H68" s="6" t="inlineStr">
        <is>
          <t>启用</t>
        </is>
      </c>
      <c r="I68" s="6" t="inlineStr">
        <is>
          <t>官方通讯社 JSON API, 单页 100 条</t>
        </is>
      </c>
    </row>
    <row r="69" ht="38" customHeight="1">
      <c r="B69" s="3" t="n">
        <v>65</v>
      </c>
      <c r="C69" s="4" t="inlineStr">
        <is>
          <t>twse_news</t>
        </is>
      </c>
      <c r="D69" s="4" t="inlineStr">
        <is>
          <t>台湾</t>
        </is>
      </c>
      <c r="E69" s="4" t="inlineStr">
        <is>
          <t>公告/披露</t>
        </is>
      </c>
      <c r="F69" s="4" t="inlineStr">
        <is>
          <t>台湾证交所官方新闻+法说会日历(OpenAPI零key, 民国年日期已转换)</t>
        </is>
      </c>
      <c r="G69" s="4" t="inlineStr">
        <is>
          <t>交易日</t>
        </is>
      </c>
      <c r="H69" s="4" t="inlineStr">
        <is>
          <t>启用</t>
        </is>
      </c>
      <c r="I69" s="4" t="inlineStr">
        <is>
          <t>证交所新闻+法说会日历, 民国年已转公元</t>
        </is>
      </c>
    </row>
    <row r="70" ht="38" customHeight="1">
      <c r="B70" s="5" t="n">
        <v>66</v>
      </c>
      <c r="C70" s="6" t="inlineStr">
        <is>
          <t>udn_rss</t>
        </is>
      </c>
      <c r="D70" s="6" t="inlineStr">
        <is>
          <t>台湾</t>
        </is>
      </c>
      <c r="E70" s="6" t="inlineStr">
        <is>
          <t>快讯流</t>
        </is>
      </c>
      <c r="F70" s="6" t="inlineStr">
        <is>
          <t>经济日报即时新闻(台湾主流财经纸媒RSS零key)</t>
        </is>
      </c>
      <c r="G70" s="6" t="inlineStr">
        <is>
          <t>日内高频</t>
        </is>
      </c>
      <c r="H70" s="6" t="inlineStr">
        <is>
          <t>启用</t>
        </is>
      </c>
      <c r="I70" s="6" t="inlineStr">
        <is>
          <t>经济日报; 含非财经条目, 下游粗筛</t>
        </is>
      </c>
    </row>
    <row r="71" ht="22" customHeight="1">
      <c r="B71" s="3" t="n">
        <v>67</v>
      </c>
      <c r="C71" s="4" t="inlineStr">
        <is>
          <t>ltn_rss</t>
        </is>
      </c>
      <c r="D71" s="4" t="inlineStr">
        <is>
          <t>台湾</t>
        </is>
      </c>
      <c r="E71" s="4" t="inlineStr">
        <is>
          <t>快讯流</t>
        </is>
      </c>
      <c r="F71" s="4" t="inlineStr">
        <is>
          <t>自由时报财经新闻RSS(台湾, 零key)</t>
        </is>
      </c>
      <c r="G71" s="4" t="inlineStr">
        <is>
          <t>日内滚动</t>
        </is>
      </c>
      <c r="H71" s="4" t="inlineStr">
        <is>
          <t>启用</t>
        </is>
      </c>
      <c r="I71" s="4" t="inlineStr">
        <is>
          <t>自由时报财经</t>
        </is>
      </c>
    </row>
    <row r="72" ht="38" customHeight="1">
      <c r="B72" s="5" t="n">
        <v>68</v>
      </c>
      <c r="C72" s="6" t="inlineStr">
        <is>
          <t>technews_rss</t>
        </is>
      </c>
      <c r="D72" s="6" t="inlineStr">
        <is>
          <t>台湾</t>
        </is>
      </c>
      <c r="E72" s="6" t="inlineStr">
        <is>
          <t>快讯流</t>
        </is>
      </c>
      <c r="F72" s="6" t="inlineStr">
        <is>
          <t>TechNews科技新报(台湾半导体/供应链视角, 台积电链素材)</t>
        </is>
      </c>
      <c r="G72" s="6" t="inlineStr">
        <is>
          <t>日内滚动</t>
        </is>
      </c>
      <c r="H72" s="6" t="inlineStr">
        <is>
          <t>启用</t>
        </is>
      </c>
      <c r="I72" s="6" t="inlineStr">
        <is>
          <t>半导体/供应链, 台积电链素材</t>
        </is>
      </c>
    </row>
    <row r="73" ht="38" customHeight="1">
      <c r="B73" s="3" t="n">
        <v>69</v>
      </c>
      <c r="C73" s="4" t="inlineStr">
        <is>
          <t>moneydj_flash</t>
        </is>
      </c>
      <c r="D73" s="4" t="inlineStr">
        <is>
          <t>台湾</t>
        </is>
      </c>
      <c r="E73" s="4" t="inlineStr">
        <is>
          <t>快讯流</t>
        </is>
      </c>
      <c r="F73" s="4" t="inlineStr">
        <is>
          <t>MoneyDJ新闻中心(台股盘口快讯, SSR HTML解析; 其RSS已退化空壳)</t>
        </is>
      </c>
      <c r="G73" s="4" t="inlineStr">
        <is>
          <t>日内滚动</t>
        </is>
      </c>
      <c r="H73" s="4" t="inlineStr">
        <is>
          <t>启用</t>
        </is>
      </c>
      <c r="I73" s="4" t="inlineStr">
        <is>
          <t>盘口快讯; RSS 已退化空壳走 HTML 解析</t>
        </is>
      </c>
    </row>
    <row r="74" ht="38" customHeight="1">
      <c r="B74" s="5" t="n">
        <v>70</v>
      </c>
      <c r="C74" s="6" t="inlineStr">
        <is>
          <t>tw_cbc_stats</t>
        </is>
      </c>
      <c r="D74" s="6" t="inlineStr">
        <is>
          <t>台湾</t>
        </is>
      </c>
      <c r="E74" s="6" t="inlineStr">
        <is>
          <t>数据/宏观</t>
        </is>
      </c>
      <c r="F74" s="6" t="inlineStr">
        <is>
          <t>备用|台湾央行金融统计API(官方零key; 2026-08-31本机出口TLS被重置, 待部署环境复测)</t>
        </is>
      </c>
      <c r="G74" s="6" t="inlineStr">
        <is>
          <t>按月</t>
        </is>
      </c>
      <c r="H74" s="6" t="inlineStr">
        <is>
          <t>占位·被拦待恢复</t>
        </is>
      </c>
      <c r="I74" s="6" t="inlineStr">
        <is>
          <t>央行统计 API; 本机出口 TLS 被重置</t>
        </is>
      </c>
    </row>
    <row r="75" ht="38" customHeight="1">
      <c r="B75" s="3" t="n">
        <v>71</v>
      </c>
      <c r="C75" s="4" t="inlineStr">
        <is>
          <t>finmind_news</t>
        </is>
      </c>
      <c r="D75" s="4" t="inlineStr">
        <is>
          <t>台湾</t>
        </is>
      </c>
      <c r="E75" s="4" t="inlineStr">
        <is>
          <t>快讯流</t>
        </is>
      </c>
      <c r="F75" s="4" t="inlineStr">
        <is>
          <t>备用|FinMind台股个股新闻API(50+dataset, 免费token即申即得)</t>
        </is>
      </c>
      <c r="G75" s="4" t="inlineStr">
        <is>
          <t>滚动</t>
        </is>
      </c>
      <c r="H75" s="4" t="inlineStr">
        <is>
          <t>占位·待配key</t>
        </is>
      </c>
      <c r="I75" s="4" t="inlineStr">
        <is>
          <t>免费 token 即申即得</t>
        </is>
      </c>
    </row>
    <row r="76" ht="38" customHeight="1">
      <c r="B76" s="5" t="n">
        <v>72</v>
      </c>
      <c r="C76" s="6" t="inlineStr">
        <is>
          <t>fed_press</t>
        </is>
      </c>
      <c r="D76" s="6" t="inlineStr">
        <is>
          <t>美股</t>
        </is>
      </c>
      <c r="E76" s="6" t="inlineStr">
        <is>
          <t>公告/披露</t>
        </is>
      </c>
      <c r="F76" s="6" t="inlineStr">
        <is>
          <t>美联储理事会新闻稿(FOMC/监管执法, 最高权威源RSS零key)</t>
        </is>
      </c>
      <c r="G76" s="6" t="inlineStr">
        <is>
          <t>事件驱动</t>
        </is>
      </c>
      <c r="H76" s="6" t="inlineStr">
        <is>
          <t>启用</t>
        </is>
      </c>
      <c r="I76" s="6" t="inlineStr">
        <is>
          <t>FOMC/监管执法, 最高权威源</t>
        </is>
      </c>
    </row>
    <row r="77" ht="38" customHeight="1">
      <c r="B77" s="3" t="n">
        <v>73</v>
      </c>
      <c r="C77" s="4" t="inlineStr">
        <is>
          <t>marketwatch_rt</t>
        </is>
      </c>
      <c r="D77" s="4" t="inlineStr">
        <is>
          <t>美股</t>
        </is>
      </c>
      <c r="E77" s="4" t="inlineStr">
        <is>
          <t>快讯流</t>
        </is>
      </c>
      <c r="F77" s="4" t="inlineStr">
        <is>
          <t>MarketWatch实时电头流(道琼斯分钟级, 零key)</t>
        </is>
      </c>
      <c r="G77" s="4" t="inlineStr">
        <is>
          <t>分钟级</t>
        </is>
      </c>
      <c r="H77" s="4" t="inlineStr">
        <is>
          <t>启用</t>
        </is>
      </c>
      <c r="I77" s="4" t="inlineStr">
        <is>
          <t>道琼斯 CDN; 旧 realtimeheadlines 死 feed 已弃</t>
        </is>
      </c>
    </row>
    <row r="78" ht="38" customHeight="1">
      <c r="B78" s="5" t="n">
        <v>74</v>
      </c>
      <c r="C78" s="6" t="inlineStr">
        <is>
          <t>prnewswire</t>
        </is>
      </c>
      <c r="D78" s="6" t="inlineStr">
        <is>
          <t>美股</t>
        </is>
      </c>
      <c r="E78" s="6" t="inlineStr">
        <is>
          <t>公告/披露</t>
        </is>
      </c>
      <c r="F78" s="6" t="inlineStr">
        <is>
          <t>PR Newswire上市公司新闻稿原稿流(财报/公告第一落点)</t>
        </is>
      </c>
      <c r="G78" s="6" t="inlineStr">
        <is>
          <t>分钟级</t>
        </is>
      </c>
      <c r="H78" s="6" t="inlineStr">
        <is>
          <t>启用</t>
        </is>
      </c>
      <c r="I78" s="6" t="inlineStr">
        <is>
          <t>公司新闻稿原稿第一落点</t>
        </is>
      </c>
    </row>
    <row r="79" ht="38" customHeight="1">
      <c r="B79" s="3" t="n">
        <v>75</v>
      </c>
      <c r="C79" s="4" t="inlineStr">
        <is>
          <t>sec_press</t>
        </is>
      </c>
      <c r="D79" s="4" t="inlineStr">
        <is>
          <t>美股</t>
        </is>
      </c>
      <c r="E79" s="4" t="inlineStr">
        <is>
          <t>公告/披露</t>
        </is>
      </c>
      <c r="F79" s="4" t="inlineStr">
        <is>
          <t>SEC新闻稿(执法行动/规则制定, 与EDGAR申报流不同)</t>
        </is>
      </c>
      <c r="G79" s="4" t="inlineStr">
        <is>
          <t>发布即更</t>
        </is>
      </c>
      <c r="H79" s="4" t="inlineStr">
        <is>
          <t>启用</t>
        </is>
      </c>
      <c r="I79" s="4" t="inlineStr">
        <is>
          <t>官方执法/规则制定</t>
        </is>
      </c>
    </row>
    <row r="80" ht="22" customHeight="1">
      <c r="B80" s="5" t="n">
        <v>76</v>
      </c>
      <c r="C80" s="6" t="inlineStr">
        <is>
          <t>treasury_press</t>
        </is>
      </c>
      <c r="D80" s="6" t="inlineStr">
        <is>
          <t>美股</t>
        </is>
      </c>
      <c r="E80" s="6" t="inlineStr">
        <is>
          <t>公告/披露</t>
        </is>
      </c>
      <c r="F80" s="6" t="inlineStr">
        <is>
          <t>美国财政部新闻稿RSS(仅/rss.xml有效路径)</t>
        </is>
      </c>
      <c r="G80" s="6" t="inlineStr">
        <is>
          <t>发布即更</t>
        </is>
      </c>
      <c r="H80" s="6" t="inlineStr">
        <is>
          <t>启用</t>
        </is>
      </c>
      <c r="I80" s="6" t="inlineStr">
        <is>
          <t>仅 /rss.xml 有效路径</t>
        </is>
      </c>
    </row>
    <row r="81" ht="22" customHeight="1">
      <c r="B81" s="3" t="n">
        <v>77</v>
      </c>
      <c r="C81" s="4" t="inlineStr">
        <is>
          <t>foxbusiness_rss</t>
        </is>
      </c>
      <c r="D81" s="4" t="inlineStr">
        <is>
          <t>美股</t>
        </is>
      </c>
      <c r="E81" s="4" t="inlineStr">
        <is>
          <t>快讯流</t>
        </is>
      </c>
      <c r="F81" s="4" t="inlineStr">
        <is>
          <t>Fox Business最新新闻流(英文零key)</t>
        </is>
      </c>
      <c r="G81" s="4" t="inlineStr">
        <is>
          <t>分钟级</t>
        </is>
      </c>
      <c r="H81" s="4" t="inlineStr">
        <is>
          <t>启用</t>
        </is>
      </c>
      <c r="I81" s="4" t="inlineStr"/>
    </row>
    <row r="82" ht="38" customHeight="1">
      <c r="B82" s="5" t="n">
        <v>78</v>
      </c>
      <c r="C82" s="6" t="inlineStr">
        <is>
          <t>benzinga_rss</t>
        </is>
      </c>
      <c r="D82" s="6" t="inlineStr">
        <is>
          <t>美股</t>
        </is>
      </c>
      <c r="E82" s="6" t="inlineStr">
        <is>
          <t>快讯流</t>
        </is>
      </c>
      <c r="F82" s="6" t="inlineStr">
        <is>
          <t>Benzinga美股个股快讯+分析流(英文; 夹杂加密/预测类内容下游粗筛)</t>
        </is>
      </c>
      <c r="G82" s="6" t="inlineStr">
        <is>
          <t>分钟级</t>
        </is>
      </c>
      <c r="H82" s="6" t="inlineStr">
        <is>
          <t>启用</t>
        </is>
      </c>
      <c r="I82" s="6" t="inlineStr">
        <is>
          <t>夹加密/预测软文, 下游粗筛</t>
        </is>
      </c>
    </row>
    <row r="83" ht="38" customHeight="1">
      <c r="B83" s="3" t="n">
        <v>79</v>
      </c>
      <c r="C83" s="4" t="inlineStr">
        <is>
          <t>eia_energy</t>
        </is>
      </c>
      <c r="D83" s="4" t="inlineStr">
        <is>
          <t>美股</t>
        </is>
      </c>
      <c r="E83" s="4" t="inlineStr">
        <is>
          <t>同行文章</t>
        </is>
      </c>
      <c r="F83" s="4" t="inlineStr">
        <is>
          <t>EIA美国能源署Today in Energy(能源大宗基本面日报, 工作日每日)</t>
        </is>
      </c>
      <c r="G83" s="4" t="inlineStr">
        <is>
          <t>工作日每日</t>
        </is>
      </c>
      <c r="H83" s="4" t="inlineStr">
        <is>
          <t>启用</t>
        </is>
      </c>
      <c r="I83" s="4" t="inlineStr">
        <is>
          <t>能源大宗基本面日报</t>
        </is>
      </c>
    </row>
    <row r="84" ht="38" customHeight="1">
      <c r="B84" s="5" t="n">
        <v>80</v>
      </c>
      <c r="C84" s="6" t="inlineStr">
        <is>
          <t>finviz_news</t>
        </is>
      </c>
      <c r="D84" s="6" t="inlineStr">
        <is>
          <t>美股</t>
        </is>
      </c>
      <c r="E84" s="6" t="inlineStr">
        <is>
          <t>快讯流</t>
        </is>
      </c>
      <c r="F84" s="6" t="inlineStr">
        <is>
          <t>Finviz全市场新闻聚合(Bloomberg/Reuters/WSJ/CNBC等, 纯SSR零key带来源链接)</t>
        </is>
      </c>
      <c r="G84" s="6" t="inlineStr">
        <is>
          <t>秒~分钟</t>
        </is>
      </c>
      <c r="H84" s="6" t="inlineStr">
        <is>
          <t>启用</t>
        </is>
      </c>
      <c r="I84" s="6" t="inlineStr">
        <is>
          <t>聚合 Bloomberg/Reuters/WSJ/CNBC 等</t>
        </is>
      </c>
    </row>
    <row r="85" ht="38" customHeight="1">
      <c r="B85" s="3" t="n">
        <v>81</v>
      </c>
      <c r="C85" s="4" t="inlineStr">
        <is>
          <t>nyfed_rates</t>
        </is>
      </c>
      <c r="D85" s="4" t="inlineStr">
        <is>
          <t>美股</t>
        </is>
      </c>
      <c r="E85" s="4" t="inlineStr">
        <is>
          <t>数据/宏观</t>
        </is>
      </c>
      <c r="F85" s="4" t="inlineStr">
        <is>
          <t>纽约联储SOFR/EFFR/OBFR/TGCR官方利率最新值(Markets API零key)</t>
        </is>
      </c>
      <c r="G85" s="4" t="inlineStr">
        <is>
          <t>交易日日更</t>
        </is>
      </c>
      <c r="H85" s="4" t="inlineStr">
        <is>
          <t>启用</t>
        </is>
      </c>
      <c r="I85" s="4" t="inlineStr">
        <is>
          <t>SOFR/EFFR/OBFR/TGCR 官方</t>
        </is>
      </c>
    </row>
    <row r="86" ht="38" customHeight="1">
      <c r="B86" s="5" t="n">
        <v>82</v>
      </c>
      <c r="C86" s="6" t="inlineStr">
        <is>
          <t>bls_macro</t>
        </is>
      </c>
      <c r="D86" s="6" t="inlineStr">
        <is>
          <t>美股</t>
        </is>
      </c>
      <c r="E86" s="6" t="inlineStr">
        <is>
          <t>数据/宏观</t>
        </is>
      </c>
      <c r="F86" s="6" t="inlineStr">
        <is>
          <t>BLS美国CPI/非农/失业率最新值(公共API v1零key日限25次)</t>
        </is>
      </c>
      <c r="G86" s="6" t="inlineStr">
        <is>
          <t>月度发布日</t>
        </is>
      </c>
      <c r="H86" s="6" t="inlineStr">
        <is>
          <t>启用</t>
        </is>
      </c>
      <c r="I86" s="6" t="inlineStr">
        <is>
          <t>CPI/非农/失业率; v1 零 key 日限 25 次</t>
        </is>
      </c>
    </row>
    <row r="87" ht="38" customHeight="1">
      <c r="B87" s="3" t="n">
        <v>83</v>
      </c>
      <c r="C87" s="4" t="inlineStr">
        <is>
          <t>fiscal_debt</t>
        </is>
      </c>
      <c r="D87" s="4" t="inlineStr">
        <is>
          <t>美股</t>
        </is>
      </c>
      <c r="E87" s="4" t="inlineStr">
        <is>
          <t>数据/宏观</t>
        </is>
      </c>
      <c r="F87" s="4" t="inlineStr">
        <is>
          <t>美国财政部国债总额日更(Fiscal Data零key免注册, T+1)</t>
        </is>
      </c>
      <c r="G87" s="4" t="inlineStr">
        <is>
          <t>工作日 T+1</t>
        </is>
      </c>
      <c r="H87" s="4" t="inlineStr">
        <is>
          <t>启用</t>
        </is>
      </c>
      <c r="I87" s="4" t="inlineStr">
        <is>
          <t>国债总额</t>
        </is>
      </c>
    </row>
    <row r="88" ht="54" customHeight="1">
      <c r="B88" s="5" t="n">
        <v>84</v>
      </c>
      <c r="C88" s="6" t="inlineStr">
        <is>
          <t>globenewswire</t>
        </is>
      </c>
      <c r="D88" s="6" t="inlineStr">
        <is>
          <t>美股</t>
        </is>
      </c>
      <c r="E88" s="6" t="inlineStr">
        <is>
          <t>公告/披露</t>
        </is>
      </c>
      <c r="F88" s="6" t="inlineStr">
        <is>
          <t>备用|GlobeNewswire上市公司稿流(2026-08-31本机出口IP多次ReadTimeout, 疑IDC段限制待复测)</t>
        </is>
      </c>
      <c r="G88" s="6" t="inlineStr">
        <is>
          <t>分钟级</t>
        </is>
      </c>
      <c r="H88" s="6" t="inlineStr">
        <is>
          <t>占位·被拦待恢复</t>
        </is>
      </c>
      <c r="I88" s="6" t="inlineStr">
        <is>
          <t>本机出口 IP ReadTimeout, 疑 IDC 段限制</t>
        </is>
      </c>
    </row>
    <row r="89" ht="38" customHeight="1">
      <c r="B89" s="3" t="n">
        <v>85</v>
      </c>
      <c r="C89" s="4" t="inlineStr">
        <is>
          <t>hkexnews</t>
        </is>
      </c>
      <c r="D89" s="4" t="inlineStr">
        <is>
          <t>港股</t>
        </is>
      </c>
      <c r="E89" s="4" t="inlineStr">
        <is>
          <t>公告/披露</t>
        </is>
      </c>
      <c r="F89" s="4" t="inlineStr">
        <is>
          <t>港交所披露易公告检索API(上市公司法定披露一手源, 零key含代码+PDF直链)</t>
        </is>
      </c>
      <c r="G89" s="4" t="inlineStr">
        <is>
          <t>实时随发随更</t>
        </is>
      </c>
      <c r="H89" s="4" t="inlineStr">
        <is>
          <t>启用</t>
        </is>
      </c>
      <c r="I89" s="4" t="inlineStr">
        <is>
          <t>披露易法定披露一手源, 代码+PDF 直链</t>
        </is>
      </c>
    </row>
    <row r="90" ht="38" customHeight="1">
      <c r="B90" s="5" t="n">
        <v>86</v>
      </c>
      <c r="C90" s="6" t="inlineStr">
        <is>
          <t>mingpao_rss</t>
        </is>
      </c>
      <c r="D90" s="6" t="inlineStr">
        <is>
          <t>港股</t>
        </is>
      </c>
      <c r="E90" s="6" t="inlineStr">
        <is>
          <t>快讯流</t>
        </is>
      </c>
      <c r="F90" s="6" t="inlineStr">
        <is>
          <t>明报即时财经RSS(港股IPO/中报/本地宏观, 盘中高频零key)</t>
        </is>
      </c>
      <c r="G90" s="6" t="inlineStr">
        <is>
          <t>盘中高频</t>
        </is>
      </c>
      <c r="H90" s="6" t="inlineStr">
        <is>
          <t>启用</t>
        </is>
      </c>
      <c r="I90" s="6" t="inlineStr">
        <is>
          <t>IPO 聆讯/中报/本地宏观</t>
        </is>
      </c>
    </row>
    <row r="91" ht="38" customHeight="1">
      <c r="B91" s="3" t="n">
        <v>87</v>
      </c>
      <c r="C91" s="4" t="inlineStr">
        <is>
          <t>yahoo_hk_rss</t>
        </is>
      </c>
      <c r="D91" s="4" t="inlineStr">
        <is>
          <t>港股</t>
        </is>
      </c>
      <c r="E91" s="4" t="inlineStr">
        <is>
          <t>快讯流</t>
        </is>
      </c>
      <c r="F91" s="4" t="inlineStr">
        <is>
          <t>Yahoo香港财经新闻流(AASTOCKS AAFN快讯内容, 繁体带代码零key)</t>
        </is>
      </c>
      <c r="G91" s="4" t="inlineStr">
        <is>
          <t>分钟级</t>
        </is>
      </c>
      <c r="H91" s="4" t="inlineStr">
        <is>
          <t>启用</t>
        </is>
      </c>
      <c r="I91" s="4" t="inlineStr">
        <is>
          <t>AASTOCKS AAFN 内容, 繁体带代码</t>
        </is>
      </c>
    </row>
    <row r="92" ht="38" customHeight="1">
      <c r="B92" s="5" t="n">
        <v>88</v>
      </c>
      <c r="C92" s="6" t="inlineStr">
        <is>
          <t>scmp_biz_rss</t>
        </is>
      </c>
      <c r="D92" s="6" t="inlineStr">
        <is>
          <t>港股</t>
        </is>
      </c>
      <c r="E92" s="6" t="inlineStr">
        <is>
          <t>快讯流</t>
        </is>
      </c>
      <c r="F92" s="6" t="inlineStr">
        <is>
          <t>SCMP南华早报Business频道(英文港股/中国财经视角, 标题摘要免费)</t>
        </is>
      </c>
      <c r="G92" s="6" t="inlineStr">
        <is>
          <t>日内滚动</t>
        </is>
      </c>
      <c r="H92" s="6" t="inlineStr">
        <is>
          <t>启用</t>
        </is>
      </c>
      <c r="I92" s="6" t="inlineStr">
        <is>
          <t>英文; 标题摘要免费, 正文软付费墙</t>
        </is>
      </c>
    </row>
    <row r="93" ht="38" customHeight="1">
      <c r="B93" s="3" t="n">
        <v>89</v>
      </c>
      <c r="C93" s="4" t="inlineStr">
        <is>
          <t>eastmoney_hkus</t>
        </is>
      </c>
      <c r="D93" s="4" t="inlineStr">
        <is>
          <t>港股</t>
        </is>
      </c>
      <c r="E93" s="4" t="inlineStr">
        <is>
          <t>快讯流</t>
        </is>
      </c>
      <c r="F93" s="4" t="inlineStr">
        <is>
          <t>东财7×24快讯港美股频道(fastColumn=104, 与焦点102不同栏目)</t>
        </is>
      </c>
      <c r="G93" s="4" t="inlineStr">
        <is>
          <t>7×24 秒级</t>
        </is>
      </c>
      <c r="H93" s="4" t="inlineStr">
        <is>
          <t>启用</t>
        </is>
      </c>
      <c r="I93" s="4" t="inlineStr">
        <is>
          <t>fastColumn=104 港美股频道</t>
        </is>
      </c>
    </row>
    <row r="94" ht="54" customHeight="1">
      <c r="B94" s="5" t="n">
        <v>90</v>
      </c>
      <c r="C94" s="6" t="inlineStr">
        <is>
          <t>hkma_press</t>
        </is>
      </c>
      <c r="D94" s="6" t="inlineStr">
        <is>
          <t>港股</t>
        </is>
      </c>
      <c r="E94" s="6" t="inlineStr">
        <is>
          <t>公告/披露</t>
        </is>
      </c>
      <c r="F94" s="6" t="inlineStr">
        <is>
          <t>备用|香港金管局新闻稿Open API(官方零key; 2026-08-31本机出口TLS被重置, 待部署环境复测)</t>
        </is>
      </c>
      <c r="G94" s="6" t="inlineStr">
        <is>
          <t>发布即更</t>
        </is>
      </c>
      <c r="H94" s="6" t="inlineStr">
        <is>
          <t>占位·被拦待恢复</t>
        </is>
      </c>
      <c r="I94" s="6" t="inlineStr">
        <is>
          <t>本机出口 TLS 被重置, 待部署环境复测</t>
        </is>
      </c>
    </row>
    <row r="95" ht="38" customHeight="1">
      <c r="B95" s="3" t="n">
        <v>91</v>
      </c>
      <c r="C95" s="4" t="inlineStr">
        <is>
          <t>kap_disclosures</t>
        </is>
      </c>
      <c r="D95" s="4" t="inlineStr">
        <is>
          <t>土耳其</t>
        </is>
      </c>
      <c r="E95" s="4" t="inlineStr">
        <is>
          <t>公告/披露</t>
        </is>
      </c>
      <c r="F95" s="4" t="inlineStr">
        <is>
          <t>KAP公开披露平台(土耳其上市公司法定公告一手源, POST JSON零key)</t>
        </is>
      </c>
      <c r="G95" s="4" t="inlineStr">
        <is>
          <t>近实时(周末亦有)</t>
        </is>
      </c>
      <c r="H95" s="4" t="inlineStr">
        <is>
          <t>启用</t>
        </is>
      </c>
      <c r="I95" s="4" t="inlineStr">
        <is>
          <t>法定公告一手源; 必须 POST JSON</t>
        </is>
      </c>
    </row>
    <row r="96" ht="38" customHeight="1">
      <c r="B96" s="5" t="n">
        <v>92</v>
      </c>
      <c r="C96" s="6" t="inlineStr">
        <is>
          <t>cnbce_rss</t>
        </is>
      </c>
      <c r="D96" s="6" t="inlineStr">
        <is>
          <t>土耳其</t>
        </is>
      </c>
      <c r="E96" s="6" t="inlineStr">
        <is>
          <t>快讯流</t>
        </is>
      </c>
      <c r="F96" s="6" t="inlineStr">
        <is>
          <t>CNBC-e快讯(土耳其, ttl=5分钟单次约250条, 土语)</t>
        </is>
      </c>
      <c r="G96" s="6" t="inlineStr">
        <is>
          <t>分钟级</t>
        </is>
      </c>
      <c r="H96" s="6" t="inlineStr">
        <is>
          <t>启用</t>
        </is>
      </c>
      <c r="I96" s="6" t="inlineStr">
        <is>
          <t>土语, 单次约 250 条</t>
        </is>
      </c>
    </row>
    <row r="97" ht="22" customHeight="1">
      <c r="B97" s="3" t="n">
        <v>93</v>
      </c>
      <c r="C97" s="4" t="inlineStr">
        <is>
          <t>foreks_rss</t>
        </is>
      </c>
      <c r="D97" s="4" t="inlineStr">
        <is>
          <t>土耳其</t>
        </is>
      </c>
      <c r="E97" s="4" t="inlineStr">
        <is>
          <t>快讯流</t>
        </is>
      </c>
      <c r="F97" s="4" t="inlineStr">
        <is>
          <t>Foreks快讯(土耳其本土财经数据商, 土语)</t>
        </is>
      </c>
      <c r="G97" s="4" t="inlineStr">
        <is>
          <t>小时级</t>
        </is>
      </c>
      <c r="H97" s="4" t="inlineStr">
        <is>
          <t>启用</t>
        </is>
      </c>
      <c r="I97" s="4" t="inlineStr">
        <is>
          <t>土语, 本土财经数据商</t>
        </is>
      </c>
    </row>
    <row r="98" ht="38" customHeight="1">
      <c r="B98" s="5" t="n">
        <v>94</v>
      </c>
      <c r="C98" s="6" t="inlineStr">
        <is>
          <t>sabah_rss</t>
        </is>
      </c>
      <c r="D98" s="6" t="inlineStr">
        <is>
          <t>土耳其</t>
        </is>
      </c>
      <c r="E98" s="6" t="inlineStr">
        <is>
          <t>快讯流</t>
        </is>
      </c>
      <c r="F98" s="6" t="inlineStr">
        <is>
          <t>Sabah经济频道(土耳其宏观日程/政策, 早报语境日更)</t>
        </is>
      </c>
      <c r="G98" s="6" t="inlineStr">
        <is>
          <t>日更约 10 条</t>
        </is>
      </c>
      <c r="H98" s="6" t="inlineStr">
        <is>
          <t>启用</t>
        </is>
      </c>
      <c r="I98" s="6" t="inlineStr">
        <is>
          <t>宏观日程/政策, 早报语境</t>
        </is>
      </c>
    </row>
    <row r="99" ht="38" customHeight="1">
      <c r="B99" s="3" t="n">
        <v>95</v>
      </c>
      <c r="C99" s="4" t="inlineStr">
        <is>
          <t>tcmb_press</t>
        </is>
      </c>
      <c r="D99" s="4" t="inlineStr">
        <is>
          <t>土耳其</t>
        </is>
      </c>
      <c r="E99" s="4" t="inlineStr">
        <is>
          <t>公告/披露</t>
        </is>
      </c>
      <c r="F99" s="4" t="inlineStr">
        <is>
          <t>土耳其中行新闻稿Atom(利率决议/流动性操作, 事件驱动)</t>
        </is>
      </c>
      <c r="G99" s="4" t="inlineStr">
        <is>
          <t>事件驱动</t>
        </is>
      </c>
      <c r="H99" s="4" t="inlineStr">
        <is>
          <t>启用</t>
        </is>
      </c>
      <c r="I99" s="4" t="inlineStr">
        <is>
          <t>利率决议/流动性操作, Atom 格式</t>
        </is>
      </c>
    </row>
    <row r="100" ht="38" customHeight="1">
      <c r="B100" s="5" t="n">
        <v>96</v>
      </c>
      <c r="C100" s="6" t="inlineStr">
        <is>
          <t>yahoo_tw_rss</t>
        </is>
      </c>
      <c r="D100" s="6" t="inlineStr">
        <is>
          <t>台湾</t>
        </is>
      </c>
      <c r="E100" s="6" t="inlineStr">
        <is>
          <t>快讯流</t>
        </is>
      </c>
      <c r="F100" s="6" t="inlineStr">
        <is>
          <t>Yahoo奇摩股市RSS(台股盘面快讯, ttl=5, 可按个股订阅)</t>
        </is>
      </c>
      <c r="G100" s="6" t="inlineStr">
        <is>
          <t>分钟级 ttl=5</t>
        </is>
      </c>
      <c r="H100" s="6" t="inlineStr">
        <is>
          <t>启用</t>
        </is>
      </c>
      <c r="I100" s="6" t="inlineStr">
        <is>
          <t>可按个股 ?s=2330.TW 订阅</t>
        </is>
      </c>
    </row>
    <row r="101" ht="38" customHeight="1">
      <c r="B101" s="3" t="n">
        <v>97</v>
      </c>
      <c r="C101" s="4" t="inlineStr">
        <is>
          <t>twse_mops</t>
        </is>
      </c>
      <c r="D101" s="4" t="inlineStr">
        <is>
          <t>台湾</t>
        </is>
      </c>
      <c r="E101" s="4" t="inlineStr">
        <is>
          <t>公告/披露</t>
        </is>
      </c>
      <c r="F101" s="4" t="inlineStr">
        <is>
          <t>台湾上市公司每日重大讯息(证交所OpenAPI, 日更出表零key)</t>
        </is>
      </c>
      <c r="G101" s="4" t="inlineStr">
        <is>
          <t>日更出表</t>
        </is>
      </c>
      <c r="H101" s="4" t="inlineStr">
        <is>
          <t>启用</t>
        </is>
      </c>
      <c r="I101" s="4" t="inlineStr">
        <is>
          <t>上市公司每日重大讯息</t>
        </is>
      </c>
    </row>
    <row r="102" ht="38" customHeight="1">
      <c r="B102" s="5" t="n">
        <v>98</v>
      </c>
      <c r="C102" s="6" t="inlineStr">
        <is>
          <t>tpex_mops</t>
        </is>
      </c>
      <c r="D102" s="6" t="inlineStr">
        <is>
          <t>台湾</t>
        </is>
      </c>
      <c r="E102" s="6" t="inlineStr">
        <is>
          <t>公告/披露</t>
        </is>
      </c>
      <c r="F102" s="6" t="inlineStr">
        <is>
          <t>台湾上柜公司每日重大讯息(柜买中心OpenAPI, 与上市互补零key)</t>
        </is>
      </c>
      <c r="G102" s="6" t="inlineStr">
        <is>
          <t>日更出表</t>
        </is>
      </c>
      <c r="H102" s="6" t="inlineStr">
        <is>
          <t>启用</t>
        </is>
      </c>
      <c r="I102" s="6" t="inlineStr">
        <is>
          <t>上柜公司每日重大讯息</t>
        </is>
      </c>
    </row>
    <row r="103" ht="38" customHeight="1">
      <c r="B103" s="3" t="n">
        <v>99</v>
      </c>
      <c r="C103" s="4" t="inlineStr">
        <is>
          <t>fsc_press</t>
        </is>
      </c>
      <c r="D103" s="4" t="inlineStr">
        <is>
          <t>台湾</t>
        </is>
      </c>
      <c r="E103" s="4" t="inlineStr">
        <is>
          <t>公告/披露</t>
        </is>
      </c>
      <c r="F103" s="4" t="inlineStr">
        <is>
          <t>备用|台湾金管会新闻稿RSS(2026-08-31本机出口TLS被重置, 待部署环境复测)</t>
        </is>
      </c>
      <c r="G103" s="4" t="inlineStr">
        <is>
          <t>工作日</t>
        </is>
      </c>
      <c r="H103" s="4" t="inlineStr">
        <is>
          <t>占位·被拦待恢复</t>
        </is>
      </c>
      <c r="I103" s="4" t="inlineStr">
        <is>
          <t>金管会新闻稿; 本机出口 TLS 被重置</t>
        </is>
      </c>
    </row>
    <row r="104" ht="38" customHeight="1">
      <c r="B104" s="5" t="n">
        <v>100</v>
      </c>
      <c r="C104" s="6" t="inlineStr">
        <is>
          <t>bea_rss</t>
        </is>
      </c>
      <c r="D104" s="6" t="inlineStr">
        <is>
          <t>美股</t>
        </is>
      </c>
      <c r="E104" s="6" t="inlineStr">
        <is>
          <t>公告/披露</t>
        </is>
      </c>
      <c r="F104" s="6" t="inlineStr">
        <is>
          <t>BEA美国经济分析局新闻稿(GDP/PCE发布, 通常08:30 ET)</t>
        </is>
      </c>
      <c r="G104" s="6" t="inlineStr">
        <is>
          <t>发布日 08:30 ET</t>
        </is>
      </c>
      <c r="H104" s="6" t="inlineStr">
        <is>
          <t>启用</t>
        </is>
      </c>
      <c r="I104" s="6" t="inlineStr">
        <is>
          <t>GDP/PCE; 须用 apps.bea.gov</t>
        </is>
      </c>
    </row>
    <row r="105" ht="54" customHeight="1">
      <c r="B105" s="3" t="n">
        <v>101</v>
      </c>
      <c r="C105" s="4" t="inlineStr">
        <is>
          <t>seekingalpha_rt</t>
        </is>
      </c>
      <c r="D105" s="4" t="inlineStr">
        <is>
          <t>美股</t>
        </is>
      </c>
      <c r="E105" s="4" t="inlineStr">
        <is>
          <t>快讯流</t>
        </is>
      </c>
      <c r="F105" s="4" t="inlineStr">
        <is>
          <t>Seeking Alpha突发快讯流(分钟级带ticker; feed自述限personal/non-commercial注意ToS)</t>
        </is>
      </c>
      <c r="G105" s="4" t="inlineStr">
        <is>
          <t>分钟级</t>
        </is>
      </c>
      <c r="H105" s="4" t="inlineStr">
        <is>
          <t>启用</t>
        </is>
      </c>
      <c r="I105" s="4" t="inlineStr">
        <is>
          <t>带 ticker; feed 自述限非商用, 注意 ToS</t>
        </is>
      </c>
    </row>
    <row r="106" ht="38" customHeight="1">
      <c r="B106" s="5" t="n">
        <v>102</v>
      </c>
      <c r="C106" s="6" t="inlineStr">
        <is>
          <t>gdpnow_rss</t>
        </is>
      </c>
      <c r="D106" s="6" t="inlineStr">
        <is>
          <t>美股</t>
        </is>
      </c>
      <c r="E106" s="6" t="inlineStr">
        <is>
          <t>数据/宏观</t>
        </is>
      </c>
      <c r="F106" s="6" t="inlineStr">
        <is>
          <t>亚特兰大联储GDPNow预测更新RSS(发布即推, 无需解析xlsx)</t>
        </is>
      </c>
      <c r="G106" s="6" t="inlineStr">
        <is>
          <t>发布即推</t>
        </is>
      </c>
      <c r="H106" s="6" t="inlineStr">
        <is>
          <t>启用</t>
        </is>
      </c>
      <c r="I106" s="6" t="inlineStr">
        <is>
          <t>亚特兰大联储 GDPNow, 周 1-2 次</t>
        </is>
      </c>
    </row>
    <row r="107" ht="38" customHeight="1">
      <c r="B107" s="3" t="n">
        <v>103</v>
      </c>
      <c r="C107" s="4" t="inlineStr">
        <is>
          <t>finra_press</t>
        </is>
      </c>
      <c r="D107" s="4" t="inlineStr">
        <is>
          <t>美股</t>
        </is>
      </c>
      <c r="E107" s="4" t="inlineStr">
        <is>
          <t>公告/披露</t>
        </is>
      </c>
      <c r="F107" s="4" t="inlineStr">
        <is>
          <t>FINRA美国金融业监管局新闻稿(执法/纪律处分; 必须走http, https握手失败)</t>
        </is>
      </c>
      <c r="G107" s="4" t="inlineStr">
        <is>
          <t>不定期</t>
        </is>
      </c>
      <c r="H107" s="4" t="inlineStr">
        <is>
          <t>启用</t>
        </is>
      </c>
      <c r="I107" s="4" t="inlineStr">
        <is>
          <t>执法/纪律处分; 必须走 http</t>
        </is>
      </c>
    </row>
    <row r="108" ht="38" customHeight="1">
      <c r="B108" s="5" t="n">
        <v>104</v>
      </c>
      <c r="C108" s="6" t="inlineStr">
        <is>
          <t>hkex_press</t>
        </is>
      </c>
      <c r="D108" s="6" t="inlineStr">
        <is>
          <t>港股</t>
        </is>
      </c>
      <c r="E108" s="6" t="inlineStr">
        <is>
          <t>公告/披露</t>
        </is>
      </c>
      <c r="F108" s="6" t="inlineStr">
        <is>
          <t>香港交易所自身新闻稿RSS(规则/产品/市场动态, 与披露易公司公告不同)</t>
        </is>
      </c>
      <c r="G108" s="6" t="inlineStr">
        <is>
          <t>不定期</t>
        </is>
      </c>
      <c r="H108" s="6" t="inlineStr">
        <is>
          <t>启用</t>
        </is>
      </c>
      <c r="I108" s="6" t="inlineStr">
        <is>
          <t>港交所自身新闻稿(规则/产品)</t>
        </is>
      </c>
    </row>
    <row r="109" ht="22" customHeight="1">
      <c r="B109" s="3" t="n">
        <v>105</v>
      </c>
      <c r="C109" s="4" t="inlineStr">
        <is>
          <t>sfc_press</t>
        </is>
      </c>
      <c r="D109" s="4" t="inlineStr">
        <is>
          <t>港股</t>
        </is>
      </c>
      <c r="E109" s="4" t="inlineStr">
        <is>
          <t>公告/披露</t>
        </is>
      </c>
      <c r="F109" s="4" t="inlineStr">
        <is>
          <t>香港证监会新闻稿RSS(执法/互联互通/季报)</t>
        </is>
      </c>
      <c r="G109" s="4" t="inlineStr">
        <is>
          <t>工作日不定期</t>
        </is>
      </c>
      <c r="H109" s="4" t="inlineStr">
        <is>
          <t>启用</t>
        </is>
      </c>
      <c r="I109" s="4" t="inlineStr">
        <is>
          <t>证监会执法/互联互通</t>
        </is>
      </c>
    </row>
    <row r="110" ht="38" customHeight="1">
      <c r="B110" s="5" t="n">
        <v>106</v>
      </c>
      <c r="C110" s="6" t="inlineStr">
        <is>
          <t>rthk_finance</t>
        </is>
      </c>
      <c r="D110" s="6" t="inlineStr">
        <is>
          <t>港股</t>
        </is>
      </c>
      <c r="E110" s="6" t="inlineStr">
        <is>
          <t>快讯流</t>
        </is>
      </c>
      <c r="F110" s="6" t="inlineStr">
        <is>
          <t>香港电台财经即时快讯(ttl=10近7×24, 周末有ADR/金油汇)</t>
        </is>
      </c>
      <c r="G110" s="6" t="inlineStr">
        <is>
          <t>近 7×24</t>
        </is>
      </c>
      <c r="H110" s="6" t="inlineStr">
        <is>
          <t>启用</t>
        </is>
      </c>
      <c r="I110" s="6" t="inlineStr">
        <is>
          <t>周末有 ADR/金油汇</t>
        </is>
      </c>
    </row>
    <row r="111" ht="38" customHeight="1">
      <c r="B111" s="3" t="n">
        <v>107</v>
      </c>
      <c r="C111" s="4" t="inlineStr">
        <is>
          <t>hkgov_finance</t>
        </is>
      </c>
      <c r="D111" s="4" t="inlineStr">
        <is>
          <t>港股</t>
        </is>
      </c>
      <c r="E111" s="4" t="inlineStr">
        <is>
          <t>公告/披露</t>
        </is>
      </c>
      <c r="F111" s="4" t="inlineStr">
        <is>
          <t>备用|香港政府新闻网财经RSS(2026-08-31本机出口TLS被重置, 待部署环境复测)</t>
        </is>
      </c>
      <c r="G111" s="4" t="inlineStr">
        <is>
          <t>不定期</t>
        </is>
      </c>
      <c r="H111" s="4" t="inlineStr">
        <is>
          <t>占位·被拦待恢复</t>
        </is>
      </c>
      <c r="I111" s="4" t="inlineStr">
        <is>
          <t>本机出口 TLS 被重置, 待部署环境复测</t>
        </is>
      </c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5.09999999999999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 ht="15" customHeight="1"/>
    <row r="2" ht="32" customHeight="1">
      <c r="B2" s="1" t="inlineStr">
        <is>
          <t>总览：按市场与状态统计（活公式，随源清单联动）</t>
        </is>
      </c>
    </row>
    <row r="3" ht="8" customHeight="1"/>
    <row r="4" ht="28" customHeight="1">
      <c r="B4" s="2" t="inlineStr">
        <is>
          <t>市场</t>
        </is>
      </c>
      <c r="C4" s="2" t="inlineStr">
        <is>
          <t>总数</t>
        </is>
      </c>
      <c r="D4" s="2" t="inlineStr">
        <is>
          <t>启用</t>
        </is>
      </c>
      <c r="E4" s="2" t="inlineStr">
        <is>
          <t>占位·被拦待恢复</t>
        </is>
      </c>
      <c r="F4" s="2" t="inlineStr">
        <is>
          <t>占位·待配key</t>
        </is>
      </c>
      <c r="G4" s="2" t="inlineStr">
        <is>
          <t>聚合/手动</t>
        </is>
      </c>
    </row>
    <row r="5" ht="118" customHeight="1">
      <c r="B5" s="4" t="inlineStr">
        <is>
          <t>A股/中国</t>
        </is>
      </c>
      <c r="C5" s="4">
        <f>COUNTIF('源清单'!$D$5:$D$111,B5)</f>
        <v/>
      </c>
      <c r="D5" s="4">
        <f>COUNTIFS('源清单'!$D$5:$D$111,B5,'源清单'!$H$5:$H$111,"启用")</f>
        <v/>
      </c>
      <c r="E5" s="4">
        <f>COUNTIFS('源清单'!$D$5:$D$111,B5,'源清单'!$H$5:$H$111,"占位·被拦待恢复")</f>
        <v/>
      </c>
      <c r="F5" s="4">
        <f>COUNTIFS('源清单'!$D$5:$D$111,B5,'源清单'!$H$5:$H$111,"占位·待配key")</f>
        <v/>
      </c>
      <c r="G5" s="4">
        <f>COUNTIFS('源清单'!$D$5:$D$111,B5,'源清单'!$H$5:$H$111,"聚合")+COUNTIFS('源清单'!$D$5:$D$111,B5,'源清单'!$H$5:$H$111,"组合·手动")+COUNTIFS('源清单'!$D$5:$D$111,B5,'源清单'!$H$5:$H$111,"素材·手动")+COUNTIFS('源清单'!$D$5:$D$111,B5,'源清单'!$H$5:$H$111,"手动")</f>
        <v/>
      </c>
    </row>
    <row r="6" ht="118" customHeight="1">
      <c r="B6" s="6" t="inlineStr">
        <is>
          <t>全球/多市场</t>
        </is>
      </c>
      <c r="C6" s="6">
        <f>COUNTIF('源清单'!$D$5:$D$111,B6)</f>
        <v/>
      </c>
      <c r="D6" s="6">
        <f>COUNTIFS('源清单'!$D$5:$D$111,B6,'源清单'!$H$5:$H$111,"启用")</f>
        <v/>
      </c>
      <c r="E6" s="6">
        <f>COUNTIFS('源清单'!$D$5:$D$111,B6,'源清单'!$H$5:$H$111,"占位·被拦待恢复")</f>
        <v/>
      </c>
      <c r="F6" s="6">
        <f>COUNTIFS('源清单'!$D$5:$D$111,B6,'源清单'!$H$5:$H$111,"占位·待配key")</f>
        <v/>
      </c>
      <c r="G6" s="6">
        <f>COUNTIFS('源清单'!$D$5:$D$111,B6,'源清单'!$H$5:$H$111,"聚合")+COUNTIFS('源清单'!$D$5:$D$111,B6,'源清单'!$H$5:$H$111,"组合·手动")+COUNTIFS('源清单'!$D$5:$D$111,B6,'源清单'!$H$5:$H$111,"素材·手动")+COUNTIFS('源清单'!$D$5:$D$111,B6,'源清单'!$H$5:$H$111,"手动")</f>
        <v/>
      </c>
    </row>
    <row r="7" ht="118" customHeight="1">
      <c r="B7" s="4" t="inlineStr">
        <is>
          <t>美股</t>
        </is>
      </c>
      <c r="C7" s="4">
        <f>COUNTIF('源清单'!$D$5:$D$111,B7)</f>
        <v/>
      </c>
      <c r="D7" s="4">
        <f>COUNTIFS('源清单'!$D$5:$D$111,B7,'源清单'!$H$5:$H$111,"启用")</f>
        <v/>
      </c>
      <c r="E7" s="4">
        <f>COUNTIFS('源清单'!$D$5:$D$111,B7,'源清单'!$H$5:$H$111,"占位·被拦待恢复")</f>
        <v/>
      </c>
      <c r="F7" s="4">
        <f>COUNTIFS('源清单'!$D$5:$D$111,B7,'源清单'!$H$5:$H$111,"占位·待配key")</f>
        <v/>
      </c>
      <c r="G7" s="4">
        <f>COUNTIFS('源清单'!$D$5:$D$111,B7,'源清单'!$H$5:$H$111,"聚合")+COUNTIFS('源清单'!$D$5:$D$111,B7,'源清单'!$H$5:$H$111,"组合·手动")+COUNTIFS('源清单'!$D$5:$D$111,B7,'源清单'!$H$5:$H$111,"素材·手动")+COUNTIFS('源清单'!$D$5:$D$111,B7,'源清单'!$H$5:$H$111,"手动")</f>
        <v/>
      </c>
    </row>
    <row r="8" ht="118" customHeight="1">
      <c r="B8" s="6" t="inlineStr">
        <is>
          <t>港股</t>
        </is>
      </c>
      <c r="C8" s="6">
        <f>COUNTIF('源清单'!$D$5:$D$111,B8)</f>
        <v/>
      </c>
      <c r="D8" s="6">
        <f>COUNTIFS('源清单'!$D$5:$D$111,B8,'源清单'!$H$5:$H$111,"启用")</f>
        <v/>
      </c>
      <c r="E8" s="6">
        <f>COUNTIFS('源清单'!$D$5:$D$111,B8,'源清单'!$H$5:$H$111,"占位·被拦待恢复")</f>
        <v/>
      </c>
      <c r="F8" s="6">
        <f>COUNTIFS('源清单'!$D$5:$D$111,B8,'源清单'!$H$5:$H$111,"占位·待配key")</f>
        <v/>
      </c>
      <c r="G8" s="6">
        <f>COUNTIFS('源清单'!$D$5:$D$111,B8,'源清单'!$H$5:$H$111,"聚合")+COUNTIFS('源清单'!$D$5:$D$111,B8,'源清单'!$H$5:$H$111,"组合·手动")+COUNTIFS('源清单'!$D$5:$D$111,B8,'源清单'!$H$5:$H$111,"素材·手动")+COUNTIFS('源清单'!$D$5:$D$111,B8,'源清单'!$H$5:$H$111,"手动")</f>
        <v/>
      </c>
    </row>
    <row r="9" ht="118" customHeight="1">
      <c r="B9" s="4" t="inlineStr">
        <is>
          <t>台湾</t>
        </is>
      </c>
      <c r="C9" s="4">
        <f>COUNTIF('源清单'!$D$5:$D$111,B9)</f>
        <v/>
      </c>
      <c r="D9" s="4">
        <f>COUNTIFS('源清单'!$D$5:$D$111,B9,'源清单'!$H$5:$H$111,"启用")</f>
        <v/>
      </c>
      <c r="E9" s="4">
        <f>COUNTIFS('源清单'!$D$5:$D$111,B9,'源清单'!$H$5:$H$111,"占位·被拦待恢复")</f>
        <v/>
      </c>
      <c r="F9" s="4">
        <f>COUNTIFS('源清单'!$D$5:$D$111,B9,'源清单'!$H$5:$H$111,"占位·待配key")</f>
        <v/>
      </c>
      <c r="G9" s="4">
        <f>COUNTIFS('源清单'!$D$5:$D$111,B9,'源清单'!$H$5:$H$111,"聚合")+COUNTIFS('源清单'!$D$5:$D$111,B9,'源清单'!$H$5:$H$111,"组合·手动")+COUNTIFS('源清单'!$D$5:$D$111,B9,'源清单'!$H$5:$H$111,"素材·手动")+COUNTIFS('源清单'!$D$5:$D$111,B9,'源清单'!$H$5:$H$111,"手动")</f>
        <v/>
      </c>
    </row>
    <row r="10" ht="118" customHeight="1">
      <c r="B10" s="6" t="inlineStr">
        <is>
          <t>土耳其</t>
        </is>
      </c>
      <c r="C10" s="6">
        <f>COUNTIF('源清单'!$D$5:$D$111,B10)</f>
        <v/>
      </c>
      <c r="D10" s="6">
        <f>COUNTIFS('源清单'!$D$5:$D$111,B10,'源清单'!$H$5:$H$111,"启用")</f>
        <v/>
      </c>
      <c r="E10" s="6">
        <f>COUNTIFS('源清单'!$D$5:$D$111,B10,'源清单'!$H$5:$H$111,"占位·被拦待恢复")</f>
        <v/>
      </c>
      <c r="F10" s="6">
        <f>COUNTIFS('源清单'!$D$5:$D$111,B10,'源清单'!$H$5:$H$111,"占位·待配key")</f>
        <v/>
      </c>
      <c r="G10" s="6">
        <f>COUNTIFS('源清单'!$D$5:$D$111,B10,'源清单'!$H$5:$H$111,"聚合")+COUNTIFS('源清单'!$D$5:$D$111,B10,'源清单'!$H$5:$H$111,"组合·手动")+COUNTIFS('源清单'!$D$5:$D$111,B10,'源清单'!$H$5:$H$111,"素材·手动")+COUNTIFS('源清单'!$D$5:$D$111,B10,'源清单'!$H$5:$H$111,"手动")</f>
        <v/>
      </c>
    </row>
    <row r="11" ht="118" customHeight="1">
      <c r="B11" s="4" t="inlineStr">
        <is>
          <t>日本</t>
        </is>
      </c>
      <c r="C11" s="4">
        <f>COUNTIF('源清单'!$D$5:$D$111,B11)</f>
        <v/>
      </c>
      <c r="D11" s="4">
        <f>COUNTIFS('源清单'!$D$5:$D$111,B11,'源清单'!$H$5:$H$111,"启用")</f>
        <v/>
      </c>
      <c r="E11" s="4">
        <f>COUNTIFS('源清单'!$D$5:$D$111,B11,'源清单'!$H$5:$H$111,"占位·被拦待恢复")</f>
        <v/>
      </c>
      <c r="F11" s="4">
        <f>COUNTIFS('源清单'!$D$5:$D$111,B11,'源清单'!$H$5:$H$111,"占位·待配key")</f>
        <v/>
      </c>
      <c r="G11" s="4">
        <f>COUNTIFS('源清单'!$D$5:$D$111,B11,'源清单'!$H$5:$H$111,"聚合")+COUNTIFS('源清单'!$D$5:$D$111,B11,'源清单'!$H$5:$H$111,"组合·手动")+COUNTIFS('源清单'!$D$5:$D$111,B11,'源清单'!$H$5:$H$111,"素材·手动")+COUNTIFS('源清单'!$D$5:$D$111,B11,'源清单'!$H$5:$H$111,"手动")</f>
        <v/>
      </c>
    </row>
    <row r="12" ht="118" customHeight="1">
      <c r="B12" s="6" t="inlineStr">
        <is>
          <t>韩国</t>
        </is>
      </c>
      <c r="C12" s="6">
        <f>COUNTIF('源清单'!$D$5:$D$111,B12)</f>
        <v/>
      </c>
      <c r="D12" s="6">
        <f>COUNTIFS('源清单'!$D$5:$D$111,B12,'源清单'!$H$5:$H$111,"启用")</f>
        <v/>
      </c>
      <c r="E12" s="6">
        <f>COUNTIFS('源清单'!$D$5:$D$111,B12,'源清单'!$H$5:$H$111,"占位·被拦待恢复")</f>
        <v/>
      </c>
      <c r="F12" s="6">
        <f>COUNTIFS('源清单'!$D$5:$D$111,B12,'源清单'!$H$5:$H$111,"占位·待配key")</f>
        <v/>
      </c>
      <c r="G12" s="6">
        <f>COUNTIFS('源清单'!$D$5:$D$111,B12,'源清单'!$H$5:$H$111,"聚合")+COUNTIFS('源清单'!$D$5:$D$111,B12,'源清单'!$H$5:$H$111,"组合·手动")+COUNTIFS('源清单'!$D$5:$D$111,B12,'源清单'!$H$5:$H$111,"素材·手动")+COUNTIFS('源清单'!$D$5:$D$111,B12,'源清单'!$H$5:$H$111,"手动")</f>
        <v/>
      </c>
    </row>
    <row r="13" ht="26" customHeight="1">
      <c r="B13" s="7" t="inlineStr">
        <is>
          <t>合计</t>
        </is>
      </c>
      <c r="C13" s="7">
        <f>SUM(C5:C12)</f>
        <v/>
      </c>
      <c r="D13" s="7">
        <f>SUM(D5:D12)</f>
        <v/>
      </c>
      <c r="E13" s="7">
        <f>SUM(E5:E12)</f>
        <v/>
      </c>
      <c r="F13" s="7">
        <f>SUM(F5:F12)</f>
        <v/>
      </c>
      <c r="G13" s="7">
        <f>SUM(G5:G12)</f>
        <v/>
      </c>
    </row>
    <row r="14" ht="22" customHeight="1"/>
    <row r="15" ht="22" customHeight="1"/>
    <row r="16" ht="22" customHeight="1">
      <c r="B16" s="8" t="inlineStr">
        <is>
          <t>按类型</t>
        </is>
      </c>
    </row>
    <row r="17" ht="28" customHeight="1">
      <c r="B17" s="2" t="inlineStr">
        <is>
          <t>类型</t>
        </is>
      </c>
      <c r="C17" s="2" t="inlineStr">
        <is>
          <t>数量</t>
        </is>
      </c>
    </row>
    <row r="18" ht="38" customHeight="1">
      <c r="B18" s="4" t="inlineStr">
        <is>
          <t>快讯流</t>
        </is>
      </c>
      <c r="C18" s="4">
        <f>COUNTIF('源清单'!$E$5:$E$111,B18)</f>
        <v/>
      </c>
    </row>
    <row r="19" ht="38" customHeight="1">
      <c r="B19" s="6" t="inlineStr">
        <is>
          <t>公告/披露</t>
        </is>
      </c>
      <c r="C19" s="6">
        <f>COUNTIF('源清单'!$E$5:$E$111,B19)</f>
        <v/>
      </c>
    </row>
    <row r="20" ht="38" customHeight="1">
      <c r="B20" s="4" t="inlineStr">
        <is>
          <t>数据/宏观</t>
        </is>
      </c>
      <c r="C20" s="4">
        <f>COUNTIF('源清单'!$E$5:$E$111,B20)</f>
        <v/>
      </c>
    </row>
    <row r="21" ht="38" customHeight="1">
      <c r="B21" s="6" t="inlineStr">
        <is>
          <t>同行文章</t>
        </is>
      </c>
      <c r="C21" s="6">
        <f>COUNTIF('源清单'!$E$5:$E$111,B21)</f>
        <v/>
      </c>
    </row>
    <row r="22" ht="38" customHeight="1">
      <c r="B22" s="4" t="inlineStr">
        <is>
          <t>日历</t>
        </is>
      </c>
      <c r="C22" s="4">
        <f>COUNTIF('源清单'!$E$5:$E$111,B22)</f>
        <v/>
      </c>
    </row>
    <row r="23" ht="38" customHeight="1">
      <c r="B23" s="6" t="inlineStr">
        <is>
          <t>聚合组</t>
        </is>
      </c>
      <c r="C23" s="6">
        <f>COUNTIF('源清单'!$E$5:$E$111,B23)</f>
        <v/>
      </c>
    </row>
    <row r="24" ht="38" customHeight="1">
      <c r="B24" s="4" t="inlineStr">
        <is>
          <t>素材组</t>
        </is>
      </c>
      <c r="C24" s="4">
        <f>COUNTIF('源清单'!$E$5:$E$111,B24)</f>
        <v/>
      </c>
    </row>
    <row r="25" ht="22" customHeight="1"/>
    <row r="26" ht="22" customHeight="1"/>
    <row r="27" ht="22" customHeight="1">
      <c r="B27" s="9" t="inlineStr">
        <is>
          <t>口径：sources/base.py REGISTRY 实时导出（python cli.py sources list 同源），作息/备注为人工维护映射。</t>
        </is>
      </c>
    </row>
    <row r="28" ht="22" customHeight="1">
      <c r="B28" s="9" t="inlineStr">
        <is>
          <t>状态释义：启用=默认进采集池；聚合=经 peer_mornings 同行早报聚合采集（单行默认关）；占位=代码在册默认关，被拦待恢复或待配免费 key。</t>
        </is>
      </c>
    </row>
    <row r="29" ht="22" customHeight="1">
      <c r="B29" s="9" t="inlineStr">
        <is>
          <t>法定披露层五市场齐备：A股巨潮 / 港股披露易 / 美股 EDGAR / 台湾 TWSE+TPEx 重大讯息 / 土耳其 KAP。</t>
        </is>
      </c>
    </row>
    <row r="30" ht="22" customHeight="1">
      <c r="B30" s="9" t="inlineStr">
        <is>
          <t>生成时选取：flows run --set flash_sources=... 或 config.yaml 的 sources.&lt;id&gt;.enabled。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2026-08-31T02:22:31Z</dcterms:created>
  <dcterms:modified xmlns:dcterms="http://purl.org/dc/terms/" xmlns:xsi="http://www.w3.org/2001/XMLSchema-instance" xsi:type="dcterms:W3CDTF">2026-08-31T02:22:31Z</dcterms:modified>
</cp:coreProperties>
</file>